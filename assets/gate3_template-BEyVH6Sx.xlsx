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showInkAnnotation="0" codeName="ThisWorkbook"/>
  <mc:AlternateContent xmlns:mc="http://schemas.openxmlformats.org/markup-compatibility/2006">
    <mc:Choice Requires="x15">
      <x15ac:absPath xmlns:x15ac="http://schemas.microsoft.com/office/spreadsheetml/2010/11/ac" url="https://barackmercosulms-my.sharepoint.com/personal/f_santoro_barackmercosul_com/Documents/Desktop/"/>
    </mc:Choice>
  </mc:AlternateContent>
  <xr:revisionPtr revIDLastSave="1" documentId="13_ncr:1_{11AA3EBC-42F6-49E5-8019-E2D3B3BA3E26}" xr6:coauthVersionLast="47" xr6:coauthVersionMax="47" xr10:uidLastSave="{F195CADA-D188-4F37-B602-28527EC4F21D}"/>
  <bookViews>
    <workbookView xWindow="28680" yWindow="-120" windowWidth="29040" windowHeight="15720" tabRatio="773" firstSheet="1" activeTab="2" xr2:uid="{00000000-000D-0000-FFFF-FFFF00000000}"/>
  </bookViews>
  <sheets>
    <sheet name="Tabelle1" sheetId="4" state="hidden" r:id="rId1"/>
    <sheet name="CapacitySFN" sheetId="10" r:id="rId2"/>
    <sheet name="OEE CalculatorSFN" sheetId="11" r:id="rId3"/>
    <sheet name="DiagramSFN" sheetId="12" r:id="rId4"/>
    <sheet name="Observaciones" sheetId="16" r:id="rId5"/>
    <sheet name="Protocolo_SFN1" sheetId="15" state="hidden" r:id="rId6"/>
    <sheet name="Acc. certificate PCA1 pre-check" sheetId="6" state="hidden" r:id="rId7"/>
    <sheet name="Acceptance certificate_PCA2_3" sheetId="7" state="hidden" r:id="rId8"/>
  </sheets>
  <definedNames>
    <definedName name="_xlnm._FilterDatabase" localSheetId="7" hidden="1">'Acceptance certificate_PCA2_3'!$B$1:$F$39</definedName>
    <definedName name="_xlnm._FilterDatabase" localSheetId="3" hidden="1">DiagramSFN!$B$7:$D$7</definedName>
    <definedName name="_xlnm._FilterDatabase" localSheetId="5" hidden="1">Protocolo_SFN1!$B$1:$F$39</definedName>
    <definedName name="_xlnm.Print_Area" localSheetId="6">'Acc. certificate PCA1 pre-check'!$A$1:$I$134</definedName>
    <definedName name="_xlnm.Print_Area" localSheetId="7">'Acceptance certificate_PCA2_3'!$A$1:$I$149</definedName>
    <definedName name="_xlnm.Print_Area" localSheetId="1">CapacitySFN!$B$1:$U$45</definedName>
    <definedName name="_xlnm.Print_Area" localSheetId="3">DiagramSFN!$A$1:$P$41</definedName>
    <definedName name="_xlnm.Print_Area" localSheetId="2">'OEE CalculatorSFN'!$B$1:$P$23</definedName>
    <definedName name="_xlnm.Print_Area" localSheetId="5">Protocolo_SFN1!$A$1:$I$143</definedName>
    <definedName name="_xlnm.Print_Titles" localSheetId="6">'Acc. certificate PCA1 pre-check'!$1:$8</definedName>
    <definedName name="_xlnm.Print_Titles" localSheetId="7">'Acceptance certificate_PCA2_3'!$1:$8</definedName>
    <definedName name="_xlnm.Print_Titles" localSheetId="5">Protocolo_SFN1!$1:$8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2" l="1"/>
  <c r="E127" i="15" l="1"/>
  <c r="H72" i="15"/>
  <c r="H66" i="15"/>
  <c r="F66" i="15"/>
  <c r="H60" i="15"/>
  <c r="D59" i="15"/>
  <c r="D60" i="15" s="1"/>
  <c r="F52" i="15"/>
  <c r="D52" i="15"/>
  <c r="D36" i="15"/>
  <c r="F36" i="15" s="1"/>
  <c r="F37" i="15" s="1"/>
  <c r="F8" i="15"/>
  <c r="D8" i="15"/>
  <c r="D7" i="15"/>
  <c r="H6" i="15"/>
  <c r="F6" i="15"/>
  <c r="D6" i="15"/>
  <c r="F60" i="15" l="1"/>
  <c r="F70" i="15"/>
  <c r="H70" i="15"/>
  <c r="F72" i="15" s="1"/>
  <c r="F20" i="15" s="1"/>
  <c r="D72" i="15"/>
  <c r="D20" i="15" s="1"/>
  <c r="H16" i="11" l="1"/>
  <c r="I16" i="11"/>
  <c r="J16" i="11"/>
  <c r="K16" i="11"/>
  <c r="L16" i="11"/>
  <c r="M16" i="11"/>
  <c r="N16" i="11"/>
  <c r="O16" i="11"/>
  <c r="P16" i="11"/>
  <c r="K6" i="12" l="1"/>
  <c r="K7" i="12"/>
  <c r="K8" i="12"/>
  <c r="K5" i="12"/>
  <c r="U43" i="10" l="1"/>
  <c r="U40" i="10"/>
  <c r="U34" i="10"/>
  <c r="U31" i="10"/>
  <c r="U25" i="10"/>
  <c r="U22" i="10"/>
  <c r="U16" i="10"/>
  <c r="U13" i="10"/>
  <c r="N43" i="10" l="1"/>
  <c r="N40" i="10"/>
  <c r="N34" i="10"/>
  <c r="N31" i="10"/>
  <c r="N25" i="10"/>
  <c r="N22" i="10"/>
  <c r="N16" i="10"/>
  <c r="N13" i="10"/>
  <c r="G43" i="10"/>
  <c r="G40" i="10"/>
  <c r="G34" i="10"/>
  <c r="G31" i="10"/>
  <c r="G25" i="10"/>
  <c r="G22" i="10"/>
  <c r="G16" i="10"/>
  <c r="G13" i="10"/>
  <c r="P12" i="11"/>
  <c r="O12" i="11"/>
  <c r="N12" i="11"/>
  <c r="M12" i="11"/>
  <c r="L12" i="11"/>
  <c r="K12" i="11"/>
  <c r="J12" i="11"/>
  <c r="I12" i="11"/>
  <c r="H12" i="11"/>
  <c r="G12" i="11"/>
  <c r="F12" i="11"/>
  <c r="E12" i="11"/>
  <c r="L6" i="11"/>
  <c r="L7" i="11"/>
  <c r="L8" i="11"/>
  <c r="L5" i="11"/>
  <c r="E6" i="11"/>
  <c r="E7" i="11"/>
  <c r="E8" i="11"/>
  <c r="E9" i="11"/>
  <c r="E5" i="11"/>
  <c r="E16" i="11" l="1"/>
  <c r="P22" i="11" l="1"/>
  <c r="O22" i="11"/>
  <c r="N22" i="11"/>
  <c r="M22" i="11"/>
  <c r="L22" i="11"/>
  <c r="K22" i="11"/>
  <c r="J22" i="11"/>
  <c r="I22" i="11"/>
  <c r="H22" i="11"/>
  <c r="G22" i="11"/>
  <c r="F22" i="11"/>
  <c r="E22" i="11"/>
  <c r="P21" i="11"/>
  <c r="O21" i="11"/>
  <c r="N21" i="11"/>
  <c r="M21" i="11"/>
  <c r="M23" i="11" s="1"/>
  <c r="U15" i="10" s="1"/>
  <c r="L21" i="11"/>
  <c r="K21" i="11"/>
  <c r="J21" i="11"/>
  <c r="I21" i="11"/>
  <c r="H21" i="11"/>
  <c r="G21" i="11"/>
  <c r="F21" i="11"/>
  <c r="E21" i="11"/>
  <c r="P20" i="11"/>
  <c r="O20" i="11"/>
  <c r="N20" i="11"/>
  <c r="M20" i="11"/>
  <c r="L20" i="11"/>
  <c r="K20" i="11"/>
  <c r="J20" i="11"/>
  <c r="I20" i="11"/>
  <c r="H20" i="11"/>
  <c r="G20" i="11"/>
  <c r="F20" i="11"/>
  <c r="E20" i="11"/>
  <c r="G16" i="11"/>
  <c r="F16" i="11"/>
  <c r="L23" i="11" l="1"/>
  <c r="N42" i="10" s="1"/>
  <c r="N39" i="10" s="1"/>
  <c r="H23" i="11"/>
  <c r="G42" i="10" s="1"/>
  <c r="G39" i="10" s="1"/>
  <c r="E23" i="11"/>
  <c r="G15" i="10" s="1"/>
  <c r="G12" i="10" s="1"/>
  <c r="G23" i="11"/>
  <c r="G33" i="10" s="1"/>
  <c r="G30" i="10" s="1"/>
  <c r="F23" i="11"/>
  <c r="G24" i="10" s="1"/>
  <c r="G21" i="10" s="1"/>
  <c r="K23" i="11"/>
  <c r="N33" i="10" s="1"/>
  <c r="N30" i="10" s="1"/>
  <c r="P23" i="11"/>
  <c r="U42" i="10" s="1"/>
  <c r="U39" i="10" s="1"/>
  <c r="O23" i="11"/>
  <c r="U33" i="10" s="1"/>
  <c r="U30" i="10" s="1"/>
  <c r="N23" i="11"/>
  <c r="U24" i="10" s="1"/>
  <c r="U21" i="10" s="1"/>
  <c r="J23" i="11"/>
  <c r="N24" i="10" s="1"/>
  <c r="N21" i="10" s="1"/>
  <c r="I23" i="11"/>
  <c r="N15" i="10" s="1"/>
  <c r="N12" i="10" s="1"/>
  <c r="U12" i="10"/>
  <c r="H20" i="15" l="1"/>
  <c r="H72" i="7"/>
  <c r="H66" i="7"/>
  <c r="F66" i="7"/>
  <c r="H60" i="7"/>
  <c r="D59" i="7"/>
  <c r="H70" i="7" s="1"/>
  <c r="F52" i="7"/>
  <c r="D52" i="7"/>
  <c r="D36" i="7"/>
  <c r="F36" i="7" s="1"/>
  <c r="F37" i="7" s="1"/>
  <c r="H8" i="7"/>
  <c r="F8" i="7"/>
  <c r="D8" i="7"/>
  <c r="D7" i="7"/>
  <c r="H6" i="7"/>
  <c r="F6" i="7"/>
  <c r="H66" i="6"/>
  <c r="H59" i="6"/>
  <c r="D58" i="6"/>
  <c r="D59" i="6" s="1"/>
  <c r="F51" i="6"/>
  <c r="D51" i="6"/>
  <c r="D35" i="6"/>
  <c r="F35" i="6" s="1"/>
  <c r="F36" i="6" s="1"/>
  <c r="D60" i="7" l="1"/>
  <c r="F60" i="7"/>
  <c r="F70" i="7"/>
  <c r="D72" i="7" s="1"/>
  <c r="D20" i="7" s="1"/>
  <c r="H20" i="7"/>
  <c r="H19" i="6"/>
  <c r="F64" i="6"/>
  <c r="F72" i="7"/>
  <c r="F20" i="7" s="1"/>
  <c r="H64" i="6"/>
  <c r="F59" i="6"/>
  <c r="F66" i="6" l="1"/>
  <c r="F19" i="6" s="1"/>
  <c r="D66" i="6"/>
  <c r="D19"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CLIENT</author>
  </authors>
  <commentList>
    <comment ref="F11" authorId="0" shapeId="0" xr:uid="{00000000-0006-0000-0400-000001000000}">
      <text>
        <r>
          <rPr>
            <b/>
            <sz val="9"/>
            <color indexed="81"/>
            <rFont val="Tahoma"/>
            <family val="2"/>
          </rPr>
          <t>Schichten/Woche</t>
        </r>
        <r>
          <rPr>
            <sz val="9"/>
            <color indexed="81"/>
            <rFont val="Tahoma"/>
            <family val="2"/>
          </rPr>
          <t xml:space="preserve">
Turnos por semana dedicados a la produccion
</t>
        </r>
      </text>
    </comment>
    <comment ref="F12" authorId="0" shapeId="0" xr:uid="{00000000-0006-0000-0400-000002000000}">
      <text>
        <r>
          <rPr>
            <b/>
            <sz val="9"/>
            <color indexed="81"/>
            <rFont val="Tahoma"/>
            <family val="2"/>
          </rPr>
          <t>Stck. wöchentlich</t>
        </r>
        <r>
          <rPr>
            <sz val="9"/>
            <color indexed="81"/>
            <rFont val="Tahoma"/>
            <family val="2"/>
          </rPr>
          <t>: Produccion semanal. Es lo que devuelve el calculo en la planilla
Surge de una formula inserta en la hoja
es la capacidad de produccion semanal de la maquina</t>
        </r>
      </text>
    </comment>
    <comment ref="B13" authorId="0" shapeId="0" xr:uid="{00000000-0006-0000-0400-000003000000}">
      <text>
        <r>
          <rPr>
            <b/>
            <sz val="9"/>
            <color indexed="81"/>
            <rFont val="Tahoma"/>
            <family val="2"/>
          </rPr>
          <t>Equipo evaluado.</t>
        </r>
        <r>
          <rPr>
            <sz val="9"/>
            <color indexed="81"/>
            <rFont val="Tahoma"/>
            <family val="2"/>
          </rPr>
          <t xml:space="preserve">
</t>
        </r>
      </text>
    </comment>
    <comment ref="F13" authorId="0" shapeId="0" xr:uid="{00000000-0006-0000-0400-000004000000}">
      <text>
        <r>
          <rPr>
            <b/>
            <sz val="9"/>
            <color indexed="81"/>
            <rFont val="Tahoma"/>
            <family val="2"/>
          </rPr>
          <t>Zykluszeit in sec</t>
        </r>
        <r>
          <rPr>
            <sz val="9"/>
            <color indexed="81"/>
            <rFont val="Tahoma"/>
            <family val="2"/>
          </rPr>
          <t>: Tiempo ciclo Std de la maquina en segundos</t>
        </r>
      </text>
    </comment>
    <comment ref="F14" authorId="0" shapeId="0" xr:uid="{00000000-0006-0000-0400-000005000000}">
      <text>
        <r>
          <rPr>
            <b/>
            <sz val="9"/>
            <color indexed="81"/>
            <rFont val="Tahoma"/>
            <family val="2"/>
          </rPr>
          <t>Arbeitszeit in Std/Schicht:</t>
        </r>
        <r>
          <rPr>
            <sz val="9"/>
            <color indexed="81"/>
            <rFont val="Tahoma"/>
            <family val="2"/>
          </rPr>
          <t xml:space="preserve"> Tiempo disponible de la maquina para producir en hs, es el turno menos los descansos, aca considere un tiempo de Set Up tambien</t>
        </r>
      </text>
    </comment>
    <comment ref="F15" authorId="0" shapeId="0" xr:uid="{00000000-0006-0000-0400-000006000000}">
      <text>
        <r>
          <rPr>
            <b/>
            <sz val="9"/>
            <color indexed="81"/>
            <rFont val="Tahoma"/>
            <family val="2"/>
          </rPr>
          <t xml:space="preserve">OEE: </t>
        </r>
        <r>
          <rPr>
            <sz val="9"/>
            <color indexed="81"/>
            <rFont val="Tahoma"/>
            <family val="2"/>
          </rPr>
          <t>es el</t>
        </r>
        <r>
          <rPr>
            <sz val="9"/>
            <color indexed="81"/>
            <rFont val="Tahoma"/>
            <family val="2"/>
          </rPr>
          <t xml:space="preserve"> comprobado de la maquina en el estudio de eficiencia</t>
        </r>
      </text>
    </comment>
    <comment ref="F16" authorId="0" shapeId="0" xr:uid="{00000000-0006-0000-0400-000007000000}">
      <text>
        <r>
          <rPr>
            <b/>
            <sz val="9"/>
            <color indexed="81"/>
            <rFont val="Tahoma"/>
            <family val="2"/>
          </rPr>
          <t>Kavitäten:</t>
        </r>
        <r>
          <rPr>
            <sz val="9"/>
            <color indexed="81"/>
            <rFont val="Tahoma"/>
            <family val="2"/>
          </rPr>
          <t xml:space="preserve">
Cuantas bocas de salida tiene la maquina, piezas por golpe o por ciclo</t>
        </r>
      </text>
    </comment>
    <comment ref="E17" authorId="0" shapeId="0" xr:uid="{00000000-0006-0000-0400-000008000000}">
      <text>
        <r>
          <rPr>
            <b/>
            <sz val="9"/>
            <color indexed="81"/>
            <rFont val="Tahoma"/>
            <family val="2"/>
          </rPr>
          <t>Reservierung für o.g. Projekt</t>
        </r>
        <r>
          <rPr>
            <sz val="9"/>
            <color indexed="81"/>
            <rFont val="Tahoma"/>
            <family val="2"/>
          </rPr>
          <t xml:space="preserve">
% de uso de la maquina dedicada al proyecto</t>
        </r>
      </text>
    </comment>
    <comment ref="F18" authorId="0" shapeId="0" xr:uid="{00000000-0006-0000-0400-000009000000}">
      <text>
        <r>
          <rPr>
            <b/>
            <sz val="9"/>
            <color indexed="81"/>
            <rFont val="Tahoma"/>
            <family val="2"/>
          </rPr>
          <t>Maschinen:</t>
        </r>
        <r>
          <rPr>
            <sz val="9"/>
            <color indexed="81"/>
            <rFont val="Tahoma"/>
            <family val="2"/>
          </rPr>
          <t xml:space="preserve">
Cantidad de maquinas evaluadas para el calculo de capcidad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Gasinski, Joerg (K-GQK-1/2)</author>
  </authors>
  <commentList>
    <comment ref="C12" authorId="0" shapeId="0" xr:uid="{00000000-0006-0000-0500-000001000000}">
      <text>
        <r>
          <rPr>
            <sz val="9"/>
            <color indexed="81"/>
            <rFont val="Tahoma"/>
            <family val="2"/>
          </rPr>
          <t xml:space="preserve">
Seleccione el color del semáforo que no sea necesario y elimínelo</t>
        </r>
      </text>
    </comment>
    <comment ref="C13" authorId="0" shapeId="0" xr:uid="{00000000-0006-0000-0500-000002000000}">
      <text>
        <r>
          <rPr>
            <sz val="9"/>
            <color indexed="81"/>
            <rFont val="Tahoma"/>
            <family val="2"/>
          </rPr>
          <t xml:space="preserve">
Seleccione el color del semáforo que no sea necesario y elimínelo</t>
        </r>
      </text>
    </comment>
    <comment ref="C14" authorId="0" shapeId="0" xr:uid="{00000000-0006-0000-0500-000003000000}">
      <text>
        <r>
          <rPr>
            <sz val="9"/>
            <color indexed="81"/>
            <rFont val="Tahoma"/>
            <family val="2"/>
          </rPr>
          <t xml:space="preserve">
Seleccione el color del semáforo que no sea necesario y elimínelo</t>
        </r>
      </text>
    </comment>
    <comment ref="G37" authorId="0" shapeId="0" xr:uid="{00000000-0006-0000-0500-000004000000}">
      <text>
        <r>
          <rPr>
            <sz val="9"/>
            <color indexed="81"/>
            <rFont val="Tahoma"/>
            <family val="2"/>
          </rPr>
          <t xml:space="preserve">
Feccha en la que la máxima capacidad debe estar instalada en el proveedor. La fecha debe extraerse de la "Nomination Agreement" bajo la sección "Maximaljahr"</t>
        </r>
      </text>
    </comment>
    <comment ref="C38" authorId="0" shapeId="0" xr:uid="{00000000-0006-0000-0500-000005000000}">
      <text>
        <r>
          <rPr>
            <sz val="9"/>
            <color indexed="81"/>
            <rFont val="Tahoma"/>
            <family val="2"/>
          </rPr>
          <t xml:space="preserve">
Introducir las unidades de aceptación acordadas en premisas del proyecto</t>
        </r>
      </text>
    </comment>
    <comment ref="E38" authorId="0" shapeId="0" xr:uid="{00000000-0006-0000-0500-000006000000}">
      <text>
        <r>
          <rPr>
            <sz val="9"/>
            <color indexed="81"/>
            <rFont val="Tahoma"/>
            <family val="2"/>
          </rPr>
          <t xml:space="preserve">
Fecha en la que se acordaron las unidades a comprobar
</t>
        </r>
      </text>
    </comment>
    <comment ref="G46" authorId="0" shapeId="0" xr:uid="{00000000-0006-0000-0500-000007000000}">
      <text>
        <r>
          <rPr>
            <sz val="9"/>
            <color indexed="81"/>
            <rFont val="Tahoma"/>
            <family val="2"/>
          </rPr>
          <t xml:space="preserve">
 Introducir aquí la secuencia de trabajo elegida
 El proveedor es responsable de rellenar este campo</t>
        </r>
      </text>
    </comment>
    <comment ref="C48" authorId="0" shapeId="0" xr:uid="{00000000-0006-0000-0500-000008000000}">
      <text>
        <r>
          <rPr>
            <sz val="9"/>
            <color indexed="81"/>
            <rFont val="Tahoma"/>
            <family val="2"/>
          </rPr>
          <t xml:space="preserve">
Porcentaje de la capacidad total de esta máquina (ó útil) disponible para el Grupo Volkswagen. 
Ejemplo
75% para Volkswagen
25% para OEM "XY" 
Estándar 100% 
</t>
        </r>
      </text>
    </comment>
    <comment ref="E48" authorId="0" shapeId="0" xr:uid="{00000000-0006-0000-0500-000009000000}">
      <text>
        <r>
          <rPr>
            <sz val="9"/>
            <color indexed="81"/>
            <rFont val="Tahoma"/>
            <family val="2"/>
          </rPr>
          <t xml:space="preserve">
Capacidad total de la máquina, instalación o útil  disponible explícitamente para la familia de piezas (pieza) sujeta a la prueba de aceptación</t>
        </r>
      </text>
    </comment>
    <comment ref="G48" authorId="0" shapeId="0" xr:uid="{00000000-0006-0000-0500-00000A000000}">
      <text>
        <r>
          <rPr>
            <sz val="9"/>
            <color indexed="81"/>
            <rFont val="Tahoma"/>
            <family val="2"/>
          </rPr>
          <t>Eficacia Global de Equipos Productivos (OEE)
Disponibilidad de la instalación planificada para este proceso de fabricación teniendo en cuenta: 
- tiempos de preparación
- rechazos de arranque previst.
- pequeñas anomalías
- tiempos de espera debidos al proceso 
- pérdidas de tiempo de ciclo
- mantenimiento
- etc.</t>
        </r>
      </text>
    </comment>
    <comment ref="C49" authorId="0" shapeId="0" xr:uid="{00000000-0006-0000-0500-00000B000000}">
      <text>
        <r>
          <rPr>
            <sz val="9"/>
            <color indexed="81"/>
            <rFont val="Tahoma"/>
            <family val="2"/>
          </rPr>
          <t xml:space="preserve">
</t>
        </r>
        <r>
          <rPr>
            <b/>
            <sz val="9"/>
            <color indexed="81"/>
            <rFont val="Tahoma"/>
            <family val="2"/>
          </rPr>
          <t>¡Atención!</t>
        </r>
        <r>
          <rPr>
            <sz val="9"/>
            <color indexed="81"/>
            <rFont val="Tahoma"/>
            <family val="2"/>
          </rPr>
          <t xml:space="preserve">
</t>
        </r>
        <r>
          <rPr>
            <b/>
            <sz val="9"/>
            <color indexed="81"/>
            <rFont val="Tahoma"/>
            <family val="2"/>
          </rPr>
          <t>En caso de modificación de este campo hay que tener en cuenta y diferenciar:</t>
        </r>
        <r>
          <rPr>
            <sz val="9"/>
            <color indexed="81"/>
            <rFont val="Tahoma"/>
            <family val="2"/>
          </rPr>
          <t xml:space="preserve">
1. Si hay varias cavidades por molde hay que adaptar el tiempo de ciclo por pieza
2. Si trabajan varias líneas de fabricación o útiles en paralelo introduzcan la cantidad correspondiente aqui.
3. Si existe una combinación de ambas con varias cavidades y líneas de fabricación o útiles que trabajan en paralelo adaptar ambos campos conforme a 1. y 2.  </t>
        </r>
      </text>
    </comment>
    <comment ref="G49" authorId="0" shapeId="0" xr:uid="{00000000-0006-0000-0500-00000C000000}">
      <text>
        <r>
          <rPr>
            <sz val="9"/>
            <color indexed="81"/>
            <rFont val="Tahoma"/>
            <family val="2"/>
          </rPr>
          <t xml:space="preserve">
</t>
        </r>
        <r>
          <rPr>
            <sz val="9"/>
            <color indexed="81"/>
            <rFont val="Tahoma"/>
            <family val="2"/>
          </rPr>
          <t xml:space="preserve">La capacidad para el </t>
        </r>
        <r>
          <rPr>
            <b/>
            <u/>
            <sz val="9"/>
            <color indexed="81"/>
            <rFont val="Tahoma"/>
            <family val="2"/>
          </rPr>
          <t>primer</t>
        </r>
        <r>
          <rPr>
            <sz val="9"/>
            <color indexed="81"/>
            <rFont val="Tahoma"/>
            <family val="2"/>
          </rPr>
          <t xml:space="preserve"> projecto está disponible.</t>
        </r>
      </text>
    </comment>
    <comment ref="C50" authorId="0" shapeId="0" xr:uid="{00000000-0006-0000-0500-00000D000000}">
      <text>
        <r>
          <rPr>
            <b/>
            <sz val="9"/>
            <color indexed="81"/>
            <rFont val="Tahoma"/>
            <family val="2"/>
          </rPr>
          <t>Importante en moldes con mas de una cavidad!</t>
        </r>
        <r>
          <rPr>
            <sz val="9"/>
            <color indexed="81"/>
            <rFont val="Tahoma"/>
            <family val="2"/>
          </rPr>
          <t xml:space="preserve">
                                                      tiempo de ciclo planificado 
Tiempo de ciclo planificado por pieza = ------------------------------------
                                                      número de cavidades
</t>
        </r>
      </text>
    </comment>
    <comment ref="E50" authorId="0" shapeId="0" xr:uid="{00000000-0006-0000-0500-00000E000000}">
      <text>
        <r>
          <rPr>
            <sz val="9"/>
            <color indexed="81"/>
            <rFont val="Tahoma"/>
            <family val="2"/>
          </rPr>
          <t xml:space="preserve">
Rechazos </t>
        </r>
        <r>
          <rPr>
            <b/>
            <u/>
            <sz val="9"/>
            <color indexed="81"/>
            <rFont val="Tahoma"/>
            <family val="2"/>
          </rPr>
          <t>previstos</t>
        </r>
        <r>
          <rPr>
            <sz val="9"/>
            <color indexed="81"/>
            <rFont val="Tahoma"/>
            <family val="2"/>
          </rPr>
          <t xml:space="preserve"> en % que tienen su origen en el proceso</t>
        </r>
      </text>
    </comment>
    <comment ref="C51" authorId="0" shapeId="0" xr:uid="{00000000-0006-0000-0500-00000F000000}">
      <text>
        <r>
          <rPr>
            <sz val="9"/>
            <color indexed="81"/>
            <rFont val="Tahoma"/>
            <family val="2"/>
          </rPr>
          <t>Número de turnos que trabaja la unidad de producción en "carga normal" para producir todos los productos fabricados en la misma</t>
        </r>
      </text>
    </comment>
    <comment ref="E51" authorId="0" shapeId="0" xr:uid="{00000000-0006-0000-0500-000010000000}">
      <text>
        <r>
          <rPr>
            <sz val="9"/>
            <color indexed="81"/>
            <rFont val="Tahoma"/>
            <family val="2"/>
          </rPr>
          <t xml:space="preserve">
Número </t>
        </r>
        <r>
          <rPr>
            <b/>
            <u/>
            <sz val="9"/>
            <color indexed="81"/>
            <rFont val="Tahoma"/>
            <family val="2"/>
          </rPr>
          <t>máximo</t>
        </r>
        <r>
          <rPr>
            <sz val="9"/>
            <color indexed="81"/>
            <rFont val="Tahoma"/>
            <family val="2"/>
          </rPr>
          <t xml:space="preserve"> de turnos que se puedan planificar para asegurar el 15% de flexibilidad.
</t>
        </r>
      </text>
    </comment>
    <comment ref="G51" authorId="0" shapeId="0" xr:uid="{00000000-0006-0000-0500-000011000000}">
      <text>
        <r>
          <rPr>
            <b/>
            <sz val="9"/>
            <color indexed="81"/>
            <rFont val="Tahoma"/>
            <family val="2"/>
          </rPr>
          <t xml:space="preserve">
Año de mayor volumen </t>
        </r>
        <r>
          <rPr>
            <sz val="9"/>
            <color indexed="81"/>
            <rFont val="Tahoma"/>
            <family val="2"/>
          </rPr>
          <t xml:space="preserve">= Max. unidades de fabricación por año segun la "Nomination Agreement"
La capacidad para todos los proyectos (tanto el primero como los siguientes) está disponible en el proveedor. La capacidad pudo ser evaluada sin extrapolación. </t>
        </r>
        <r>
          <rPr>
            <b/>
            <sz val="9"/>
            <color indexed="81"/>
            <rFont val="Tahoma"/>
            <family val="2"/>
          </rPr>
          <t xml:space="preserve">
¡Solo entonces marcar la casilla con una "X"!</t>
        </r>
      </text>
    </comment>
    <comment ref="C52" authorId="0" shapeId="0" xr:uid="{00000000-0006-0000-0500-000012000000}">
      <text>
        <r>
          <rPr>
            <b/>
            <sz val="9"/>
            <color indexed="81"/>
            <rFont val="Tahoma"/>
            <family val="2"/>
          </rPr>
          <t>Significado del semáforo:</t>
        </r>
        <r>
          <rPr>
            <sz val="9"/>
            <color indexed="81"/>
            <rFont val="Tahoma"/>
            <family val="2"/>
          </rPr>
          <t xml:space="preserve">
</t>
        </r>
        <r>
          <rPr>
            <b/>
            <sz val="9"/>
            <color indexed="81"/>
            <rFont val="Tahoma"/>
            <family val="2"/>
          </rPr>
          <t>Verde:</t>
        </r>
        <r>
          <rPr>
            <sz val="9"/>
            <color indexed="81"/>
            <rFont val="Tahoma"/>
            <family val="2"/>
          </rPr>
          <t xml:space="preserve"> Capacidad ≥ Unidades nominadas/semana 
</t>
        </r>
        <r>
          <rPr>
            <b/>
            <sz val="9"/>
            <color indexed="81"/>
            <rFont val="Tahoma"/>
            <family val="2"/>
          </rPr>
          <t>Rojo:</t>
        </r>
        <r>
          <rPr>
            <sz val="9"/>
            <color indexed="81"/>
            <rFont val="Tahoma"/>
            <family val="2"/>
          </rPr>
          <t xml:space="preserve">   Capacidad &lt; Unidades nominadas/semana</t>
        </r>
      </text>
    </comment>
    <comment ref="E52" authorId="0" shapeId="0" xr:uid="{00000000-0006-0000-0500-000013000000}">
      <text>
        <r>
          <rPr>
            <b/>
            <sz val="9"/>
            <color indexed="81"/>
            <rFont val="Tahoma"/>
            <family val="2"/>
          </rPr>
          <t>Significado del semáforo:</t>
        </r>
        <r>
          <rPr>
            <sz val="9"/>
            <color indexed="81"/>
            <rFont val="Tahoma"/>
            <family val="2"/>
          </rPr>
          <t xml:space="preserve">
</t>
        </r>
        <r>
          <rPr>
            <b/>
            <sz val="9"/>
            <color indexed="81"/>
            <rFont val="Tahoma"/>
            <family val="2"/>
          </rPr>
          <t>Verde:</t>
        </r>
        <r>
          <rPr>
            <sz val="9"/>
            <color indexed="81"/>
            <rFont val="Tahoma"/>
            <family val="2"/>
          </rPr>
          <t xml:space="preserve"> Capacidad ≥ Unidades nominadas/semana + 15% flexibilidad
</t>
        </r>
        <r>
          <rPr>
            <b/>
            <sz val="9"/>
            <color indexed="81"/>
            <rFont val="Tahoma"/>
            <family val="2"/>
          </rPr>
          <t>Rojo:</t>
        </r>
        <r>
          <rPr>
            <sz val="9"/>
            <color indexed="81"/>
            <rFont val="Tahoma"/>
            <family val="2"/>
          </rPr>
          <t xml:space="preserve">   Capacidad &lt; Unidades nominadas/semana + 15% flexibilidad
</t>
        </r>
      </text>
    </comment>
    <comment ref="G56" authorId="0" shapeId="0" xr:uid="{00000000-0006-0000-0500-000014000000}">
      <text>
        <r>
          <rPr>
            <sz val="9"/>
            <color indexed="81"/>
            <rFont val="Tahoma"/>
            <family val="2"/>
          </rPr>
          <t xml:space="preserve">
 Introducir aquí la secuencia de trabajo elegida
 El proveedor es responsable de rellenar este campo</t>
        </r>
      </text>
    </comment>
    <comment ref="G58" authorId="0" shapeId="0" xr:uid="{00000000-0006-0000-0500-000015000000}">
      <text>
        <r>
          <rPr>
            <sz val="9"/>
            <color indexed="81"/>
            <rFont val="Tahoma"/>
            <family val="2"/>
          </rPr>
          <t xml:space="preserve">
Total de unidades (piezas) fabricadas durante la prueba de aceptación.
En caso de disponer de varias líneas de fabricación o útiles las piezas producidas durante la prueba deberán sumarse.</t>
        </r>
      </text>
    </comment>
    <comment ref="C59" authorId="0" shapeId="0" xr:uid="{00000000-0006-0000-0500-000016000000}">
      <text>
        <r>
          <rPr>
            <sz val="9"/>
            <color indexed="81"/>
            <rFont val="Tahoma"/>
            <family val="2"/>
          </rPr>
          <t xml:space="preserve">
Cantidad de piezas dadas por OK directamente de entre el volumen total de piezas fabricadas.</t>
        </r>
      </text>
    </comment>
    <comment ref="E59" authorId="0" shapeId="0" xr:uid="{00000000-0006-0000-0500-000017000000}">
      <text>
        <r>
          <rPr>
            <sz val="9"/>
            <color indexed="81"/>
            <rFont val="Tahoma"/>
            <family val="2"/>
          </rPr>
          <t xml:space="preserve">
Cantidad de piezas que requieren retrabajo. 
NO cuentan aquí las piezas retrabajadas inmediatamente si ya están registradas como piezas OK. 
Sólo se tienen que tener en cuenta las piezas que se separan para realizar el retrabajo en otro momento.  </t>
        </r>
      </text>
    </comment>
    <comment ref="G59" authorId="0" shapeId="0" xr:uid="{00000000-0006-0000-0500-000018000000}">
      <text>
        <r>
          <rPr>
            <sz val="9"/>
            <color indexed="81"/>
            <rFont val="Tahoma"/>
            <family val="2"/>
          </rPr>
          <t xml:space="preserve">
Cantidad de piezas rechazadas de entre el volumen de piezas fabricadas.</t>
        </r>
      </text>
    </comment>
    <comment ref="E66" authorId="0" shapeId="0" xr:uid="{00000000-0006-0000-0500-000019000000}">
      <text>
        <r>
          <rPr>
            <b/>
            <sz val="9"/>
            <color indexed="81"/>
            <rFont val="Tahoma"/>
            <family val="2"/>
          </rPr>
          <t xml:space="preserve">
Kriterien Ampelschaltung
ROT:   </t>
        </r>
        <r>
          <rPr>
            <sz val="9"/>
            <color indexed="81"/>
            <rFont val="Tahoma"/>
            <family val="2"/>
          </rPr>
          <t>IST-Stückzahl kleiner als Nominierte Stückzahl/Woche</t>
        </r>
        <r>
          <rPr>
            <b/>
            <sz val="9"/>
            <color indexed="81"/>
            <rFont val="Tahoma"/>
            <family val="2"/>
          </rPr>
          <t xml:space="preserve">
Grün: </t>
        </r>
        <r>
          <rPr>
            <sz val="9"/>
            <color indexed="81"/>
            <rFont val="Tahoma"/>
            <family val="2"/>
          </rPr>
          <t xml:space="preserve">IST-Stückzahl ist größer als Stückzahl inkl. 15% Flexibilität </t>
        </r>
      </text>
    </comment>
    <comment ref="G66" authorId="0" shapeId="0" xr:uid="{00000000-0006-0000-0500-00001A000000}">
      <text>
        <r>
          <rPr>
            <sz val="9"/>
            <color indexed="81"/>
            <rFont val="Tahoma"/>
            <family val="2"/>
          </rPr>
          <t xml:space="preserve">
</t>
        </r>
        <r>
          <rPr>
            <b/>
            <sz val="9"/>
            <color indexed="81"/>
            <rFont val="Tahoma"/>
            <family val="2"/>
          </rPr>
          <t>Kriterien Ampelschaltung</t>
        </r>
        <r>
          <rPr>
            <sz val="9"/>
            <color indexed="81"/>
            <rFont val="Tahoma"/>
            <family val="2"/>
          </rPr>
          <t xml:space="preserve">
</t>
        </r>
        <r>
          <rPr>
            <b/>
            <sz val="9"/>
            <color indexed="81"/>
            <rFont val="Tahoma"/>
            <family val="2"/>
          </rPr>
          <t>ROT</t>
        </r>
        <r>
          <rPr>
            <sz val="9"/>
            <color indexed="81"/>
            <rFont val="Tahoma"/>
            <family val="2"/>
          </rPr>
          <t xml:space="preserve">:   IST-Stückzahl kleiner als Nominierte Stückzahl/Woche
</t>
        </r>
        <r>
          <rPr>
            <b/>
            <sz val="9"/>
            <color indexed="81"/>
            <rFont val="Tahoma"/>
            <family val="2"/>
          </rPr>
          <t>Gelb</t>
        </r>
        <r>
          <rPr>
            <sz val="9"/>
            <color indexed="81"/>
            <rFont val="Tahoma"/>
            <family val="2"/>
          </rPr>
          <t xml:space="preserve">:  IST-Stückzahl zwischen nominierter Stückzahl/Woche 
          und inkl. 15% Flexibilität
</t>
        </r>
        <r>
          <rPr>
            <b/>
            <sz val="9"/>
            <color indexed="81"/>
            <rFont val="Tahoma"/>
            <family val="2"/>
          </rPr>
          <t>Grün</t>
        </r>
        <r>
          <rPr>
            <sz val="9"/>
            <color indexed="81"/>
            <rFont val="Tahoma"/>
            <family val="2"/>
          </rPr>
          <t xml:space="preserve">: IST-Stückzahl ist größer als Stückzahl inkl. 15%
          Flexibilität 
</t>
        </r>
      </text>
    </comment>
    <comment ref="E70" authorId="0" shapeId="0" xr:uid="{00000000-0006-0000-0500-00001B000000}">
      <text>
        <r>
          <rPr>
            <b/>
            <sz val="9"/>
            <color indexed="81"/>
            <rFont val="Tahoma"/>
            <family val="2"/>
          </rPr>
          <t xml:space="preserve">
Kriterien Ampelschaltung
ROT:   </t>
        </r>
        <r>
          <rPr>
            <sz val="9"/>
            <color indexed="81"/>
            <rFont val="Tahoma"/>
            <family val="2"/>
          </rPr>
          <t>IST-Stückzahl kleiner als Nominierte Stückzahl/Woche</t>
        </r>
        <r>
          <rPr>
            <b/>
            <sz val="9"/>
            <color indexed="81"/>
            <rFont val="Tahoma"/>
            <family val="2"/>
          </rPr>
          <t xml:space="preserve">
Grün: </t>
        </r>
        <r>
          <rPr>
            <sz val="9"/>
            <color indexed="81"/>
            <rFont val="Tahoma"/>
            <family val="2"/>
          </rPr>
          <t xml:space="preserve">IST-Stückzahl ist größer als Stückzahl inkl. 15% Flexibilität </t>
        </r>
      </text>
    </comment>
    <comment ref="G70" authorId="0" shapeId="0" xr:uid="{00000000-0006-0000-0500-00001C000000}">
      <text>
        <r>
          <rPr>
            <sz val="9"/>
            <color indexed="81"/>
            <rFont val="Tahoma"/>
            <family val="2"/>
          </rPr>
          <t xml:space="preserve">
</t>
        </r>
        <r>
          <rPr>
            <b/>
            <sz val="9"/>
            <color indexed="81"/>
            <rFont val="Tahoma"/>
            <family val="2"/>
          </rPr>
          <t>Kriterien Ampelschaltung</t>
        </r>
        <r>
          <rPr>
            <sz val="9"/>
            <color indexed="81"/>
            <rFont val="Tahoma"/>
            <family val="2"/>
          </rPr>
          <t xml:space="preserve">
</t>
        </r>
        <r>
          <rPr>
            <b/>
            <sz val="9"/>
            <color indexed="81"/>
            <rFont val="Tahoma"/>
            <family val="2"/>
          </rPr>
          <t>ROT</t>
        </r>
        <r>
          <rPr>
            <sz val="9"/>
            <color indexed="81"/>
            <rFont val="Tahoma"/>
            <family val="2"/>
          </rPr>
          <t xml:space="preserve">:   IST-Stückzahl kleiner als Nominierte Stückzahl/Woche
</t>
        </r>
        <r>
          <rPr>
            <b/>
            <sz val="9"/>
            <color indexed="81"/>
            <rFont val="Tahoma"/>
            <family val="2"/>
          </rPr>
          <t>Gelb</t>
        </r>
        <r>
          <rPr>
            <sz val="9"/>
            <color indexed="81"/>
            <rFont val="Tahoma"/>
            <family val="2"/>
          </rPr>
          <t xml:space="preserve">:  IST-Stückzahl zwischen nominierter Stückzahl/Woche 
          und inkl. 15% Flexibilität
</t>
        </r>
        <r>
          <rPr>
            <b/>
            <sz val="9"/>
            <color indexed="81"/>
            <rFont val="Tahoma"/>
            <family val="2"/>
          </rPr>
          <t>Grün</t>
        </r>
        <r>
          <rPr>
            <sz val="9"/>
            <color indexed="81"/>
            <rFont val="Tahoma"/>
            <family val="2"/>
          </rPr>
          <t xml:space="preserve">: IST-Stückzahl ist größer als Stückzahl inkl. 15%
          Flexibilität </t>
        </r>
      </text>
    </comment>
    <comment ref="C72" authorId="0" shapeId="0" xr:uid="{00000000-0006-0000-0500-00001D000000}">
      <text>
        <r>
          <rPr>
            <b/>
            <sz val="9"/>
            <color indexed="81"/>
            <rFont val="Tahoma"/>
            <family val="2"/>
          </rPr>
          <t xml:space="preserve">Significado del semáforo: 
Verde: </t>
        </r>
        <r>
          <rPr>
            <sz val="9"/>
            <color indexed="81"/>
            <rFont val="Tahoma"/>
            <family val="2"/>
          </rPr>
          <t>Capacidad real ≥ unidades nominadas/semana</t>
        </r>
        <r>
          <rPr>
            <b/>
            <sz val="9"/>
            <color indexed="81"/>
            <rFont val="Tahoma"/>
            <family val="2"/>
          </rPr>
          <t xml:space="preserve">
Rojo:  </t>
        </r>
        <r>
          <rPr>
            <sz val="9"/>
            <color indexed="81"/>
            <rFont val="Tahoma"/>
            <family val="2"/>
          </rPr>
          <t>Capacidad real &lt; unidades nominadas/semana</t>
        </r>
      </text>
    </comment>
    <comment ref="E72" authorId="0" shapeId="0" xr:uid="{00000000-0006-0000-0500-00001E000000}">
      <text>
        <r>
          <rPr>
            <b/>
            <sz val="9"/>
            <color indexed="81"/>
            <rFont val="Tahoma"/>
            <family val="2"/>
          </rPr>
          <t>Significado del semáforo:</t>
        </r>
        <r>
          <rPr>
            <sz val="9"/>
            <color indexed="81"/>
            <rFont val="Tahoma"/>
            <family val="2"/>
          </rPr>
          <t xml:space="preserve">
</t>
        </r>
        <r>
          <rPr>
            <b/>
            <sz val="9"/>
            <color indexed="81"/>
            <rFont val="Tahoma"/>
            <family val="2"/>
          </rPr>
          <t>Verde:</t>
        </r>
        <r>
          <rPr>
            <sz val="9"/>
            <color indexed="81"/>
            <rFont val="Tahoma"/>
            <family val="2"/>
          </rPr>
          <t xml:space="preserve"> Capacidad real  ≥ unidades nominadas/semana + 15% flexibilidad</t>
        </r>
        <r>
          <rPr>
            <b/>
            <sz val="9"/>
            <color indexed="81"/>
            <rFont val="Tahoma"/>
            <family val="2"/>
          </rPr>
          <t xml:space="preserve">
Rojo: </t>
        </r>
        <r>
          <rPr>
            <sz val="9"/>
            <color indexed="81"/>
            <rFont val="Tahoma"/>
            <family val="2"/>
          </rPr>
          <t>Capacidad real &lt; unidades nominadas/semana + 15 % flexibilidad</t>
        </r>
        <r>
          <rPr>
            <b/>
            <sz val="9"/>
            <color indexed="81"/>
            <rFont val="Tahoma"/>
            <family val="2"/>
          </rPr>
          <t xml:space="preserve">
</t>
        </r>
        <r>
          <rPr>
            <sz val="9"/>
            <color indexed="81"/>
            <rFont val="Tahoma"/>
            <family val="2"/>
          </rPr>
          <t xml:space="preserve">
</t>
        </r>
      </text>
    </comment>
    <comment ref="C73" authorId="0" shapeId="0" xr:uid="{00000000-0006-0000-0500-00001F000000}">
      <text>
        <r>
          <rPr>
            <sz val="9"/>
            <color indexed="81"/>
            <rFont val="Tahoma"/>
            <family val="2"/>
          </rPr>
          <t xml:space="preserve">
Escriba una "X" en la casilla correspondiente:
- La prueba de capacidad </t>
        </r>
        <r>
          <rPr>
            <u/>
            <sz val="9"/>
            <color indexed="81"/>
            <rFont val="Tahoma"/>
            <family val="2"/>
          </rPr>
          <t>NO</t>
        </r>
        <r>
          <rPr>
            <sz val="9"/>
            <color indexed="81"/>
            <rFont val="Tahoma"/>
            <family val="2"/>
          </rPr>
          <t xml:space="preserve"> ha tenido éxito
- Las unidades de fabricacón exigidas para el proyecto han sido comprobadas (incluidas el 15% de felxibilidad)
- La capacidada para el año de mayor volumen según Nomination Agreement ha sido comprobada (incluido el 15% flexibildad)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Timm, Frank (K-BN-KM/1)</author>
    <author>Gasinski, Joerg (K-GQK-1/2)</author>
  </authors>
  <commentList>
    <comment ref="F6" authorId="0" shapeId="0" xr:uid="{00000000-0006-0000-0600-000001000000}">
      <text>
        <r>
          <rPr>
            <b/>
            <sz val="9"/>
            <color indexed="81"/>
            <rFont val="Tahoma"/>
            <family val="2"/>
          </rPr>
          <t>Timm, Frank (K-BN-KM/1):</t>
        </r>
        <r>
          <rPr>
            <sz val="9"/>
            <color indexed="81"/>
            <rFont val="Tahoma"/>
            <family val="2"/>
          </rPr>
          <t xml:space="preserve">
Erstbefüllung des Kopfes über dieses Abnahmeprotokoll. Diese Daten werden in die anderen Blätter übernommen.</t>
        </r>
      </text>
    </comment>
    <comment ref="C12" authorId="1" shapeId="0" xr:uid="{00000000-0006-0000-0600-000002000000}">
      <text>
        <r>
          <rPr>
            <sz val="9"/>
            <color indexed="81"/>
            <rFont val="Tahoma"/>
            <family val="2"/>
          </rPr>
          <t xml:space="preserve">
Nicht benötigte Ampelfarbe anklicken und löschen</t>
        </r>
      </text>
    </comment>
    <comment ref="C13" authorId="1" shapeId="0" xr:uid="{00000000-0006-0000-0600-000003000000}">
      <text>
        <r>
          <rPr>
            <sz val="9"/>
            <color indexed="81"/>
            <rFont val="Tahoma"/>
            <family val="2"/>
          </rPr>
          <t xml:space="preserve">
Nicht benötigte Ampelfarbe anklicken und löschen</t>
        </r>
      </text>
    </comment>
    <comment ref="G36" authorId="1" shapeId="0" xr:uid="{00000000-0006-0000-0600-000004000000}">
      <text>
        <r>
          <rPr>
            <sz val="9"/>
            <color indexed="81"/>
            <rFont val="Tahoma"/>
            <family val="2"/>
          </rPr>
          <t xml:space="preserve">
Datum zu wann das maximale Volumen beim Lieferanten zur Verfügung stehen muss. Datum ist aus dem Nominatrion Agreement unter "Maximaljahr" zu entnehmen.
</t>
        </r>
      </text>
    </comment>
    <comment ref="C37" authorId="1" shapeId="0" xr:uid="{00000000-0006-0000-0600-000005000000}">
      <text>
        <r>
          <rPr>
            <sz val="9"/>
            <color indexed="81"/>
            <rFont val="Tahoma"/>
            <family val="2"/>
          </rPr>
          <t xml:space="preserve">
Die im Commitmentblatt Neuteile vereinbarte Abnahmestückzahl für den Vor-Check ist einzutragen.</t>
        </r>
      </text>
    </comment>
    <comment ref="E37" authorId="1" shapeId="0" xr:uid="{00000000-0006-0000-0600-000006000000}">
      <text>
        <r>
          <rPr>
            <sz val="9"/>
            <color indexed="81"/>
            <rFont val="Tahoma"/>
            <family val="2"/>
          </rPr>
          <t xml:space="preserve">
Datum wann das Abnahmevolumen abgestimmt wurde</t>
        </r>
      </text>
    </comment>
    <comment ref="G45" authorId="1" shapeId="0" xr:uid="{00000000-0006-0000-0600-000007000000}">
      <text>
        <r>
          <rPr>
            <sz val="9"/>
            <color indexed="81"/>
            <rFont val="Tahoma"/>
            <family val="2"/>
          </rPr>
          <t xml:space="preserve">
  Hier bitte die kapazitätsbestimmende Arbeitsfolge festhalten 
  Für Angabe zuständig: Lieferant</t>
        </r>
      </text>
    </comment>
    <comment ref="C47" authorId="1" shapeId="0" xr:uid="{00000000-0006-0000-0600-000008000000}">
      <text>
        <r>
          <rPr>
            <sz val="9"/>
            <color indexed="81"/>
            <rFont val="Tahoma"/>
            <family val="2"/>
          </rPr>
          <t xml:space="preserve">
Der gesamte Anteil der Gruppenkapazität, der für den Volkswagen Konzern auf dieser Maschine (Werkzeug) zur Verfügung steht. 
Beispiel:
75% für Volkswagen
25% für OEM "XY" 
Standardwert= 100% 
</t>
        </r>
      </text>
    </comment>
    <comment ref="E47" authorId="1" shapeId="0" xr:uid="{00000000-0006-0000-0600-000009000000}">
      <text>
        <r>
          <rPr>
            <sz val="9"/>
            <color indexed="81"/>
            <rFont val="Tahoma"/>
            <family val="2"/>
          </rPr>
          <t xml:space="preserve">
Die Gruppenkapazität auf der Maschine, der Anlage oder des Werkzeugs, die explizit für die abzunehmende Teilefamilie (Bauteil) zur Verfügung steht.</t>
        </r>
      </text>
    </comment>
    <comment ref="G47" authorId="1" shapeId="0" xr:uid="{00000000-0006-0000-0600-00000A000000}">
      <text>
        <r>
          <rPr>
            <sz val="9"/>
            <color indexed="81"/>
            <rFont val="Tahoma"/>
            <family val="2"/>
          </rPr>
          <t xml:space="preserve">
Geplante Anlagenverfügbarkeit für den Herstellungsprozess unter Berücksichtigung von:
- Rüstzeiten
- geplanter Anfahrauschuss
- Kleine Störungen
- Ablaufbedingte Wartezeiten
- Taktzeitverluste
- usw.</t>
        </r>
      </text>
    </comment>
    <comment ref="C48" authorId="1" shapeId="0" xr:uid="{00000000-0006-0000-0600-00000B000000}">
      <text>
        <r>
          <rPr>
            <b/>
            <sz val="9"/>
            <color indexed="81"/>
            <rFont val="Tahoma"/>
            <family val="2"/>
          </rPr>
          <t xml:space="preserve">
Achtung!</t>
        </r>
        <r>
          <rPr>
            <sz val="9"/>
            <color indexed="81"/>
            <rFont val="Tahoma"/>
            <family val="2"/>
          </rPr>
          <t xml:space="preserve">
</t>
        </r>
        <r>
          <rPr>
            <b/>
            <sz val="9"/>
            <color indexed="81"/>
            <rFont val="Tahoma"/>
            <family val="2"/>
          </rPr>
          <t xml:space="preserve">
Bei Änderung des Feldes beachten und unterscheiden:</t>
        </r>
        <r>
          <rPr>
            <sz val="9"/>
            <color indexed="81"/>
            <rFont val="Tahoma"/>
            <family val="2"/>
          </rPr>
          <t xml:space="preserve">
1. Bei mehreren Nestern pro Werkzeug die Zykluszeit pro Bauteil ausrechnen und  bei
    "Geplante Zykluszeit/Bauteil" eintragen!
2. Bei parallel laufenden Fertigungslinien oder Werkzeugen die Anzahl entsprechend
    eintragen.
3. Bei einer Kombination von mehreren Nestern sowie parallel laufenden Fertigungslinien oder
    Werkzeugen beide Felder entsprechend 1. und 2. anpassen. 
</t>
        </r>
      </text>
    </comment>
    <comment ref="G48" authorId="1" shapeId="0" xr:uid="{00000000-0006-0000-0600-00000C000000}">
      <text>
        <r>
          <rPr>
            <sz val="9"/>
            <color indexed="81"/>
            <rFont val="Tahoma"/>
            <family val="2"/>
          </rPr>
          <t xml:space="preserve">
Die Kapazität für das </t>
        </r>
        <r>
          <rPr>
            <b/>
            <u/>
            <sz val="9"/>
            <color indexed="81"/>
            <rFont val="Tahoma"/>
            <family val="2"/>
          </rPr>
          <t xml:space="preserve">erste </t>
        </r>
        <r>
          <rPr>
            <sz val="9"/>
            <color indexed="81"/>
            <rFont val="Tahoma"/>
            <family val="2"/>
          </rPr>
          <t>Fahrzeug- oder Aggregateprojekt ist eingerichtet.</t>
        </r>
      </text>
    </comment>
    <comment ref="C49" authorId="1" shapeId="0" xr:uid="{00000000-0006-0000-0600-00000D000000}">
      <text>
        <r>
          <rPr>
            <b/>
            <sz val="9"/>
            <color indexed="81"/>
            <rFont val="Tahoma"/>
            <family val="2"/>
          </rPr>
          <t>Wichtig bei Werkzeugen mit mehreren Nestern!</t>
        </r>
        <r>
          <rPr>
            <b/>
            <sz val="9"/>
            <color indexed="81"/>
            <rFont val="Tahoma"/>
            <family val="2"/>
          </rPr>
          <t xml:space="preserve">
</t>
        </r>
        <r>
          <rPr>
            <sz val="9"/>
            <color indexed="81"/>
            <rFont val="Tahoma"/>
            <family val="2"/>
          </rPr>
          <t xml:space="preserve">
                                                      Geplante Zykluszeit 
Geplante Zykluszeit pro Bauteil = -------------------------------
                                                      Anzahl der Nester
</t>
        </r>
      </text>
    </comment>
    <comment ref="E49" authorId="1" shapeId="0" xr:uid="{00000000-0006-0000-0600-00000E000000}">
      <text>
        <r>
          <rPr>
            <sz val="9"/>
            <color indexed="81"/>
            <rFont val="Tahoma"/>
            <family val="2"/>
          </rPr>
          <t xml:space="preserve">
</t>
        </r>
        <r>
          <rPr>
            <b/>
            <u/>
            <sz val="9"/>
            <color indexed="81"/>
            <rFont val="Tahoma"/>
            <family val="2"/>
          </rPr>
          <t>Geplanter</t>
        </r>
        <r>
          <rPr>
            <sz val="9"/>
            <color indexed="81"/>
            <rFont val="Tahoma"/>
            <family val="2"/>
          </rPr>
          <t xml:space="preserve"> durch den Herstellungsprozess bedingter Ausschuss in %</t>
        </r>
      </text>
    </comment>
    <comment ref="C50" authorId="1" shapeId="0" xr:uid="{00000000-0006-0000-0600-00000F000000}">
      <text>
        <r>
          <rPr>
            <sz val="9"/>
            <color indexed="81"/>
            <rFont val="Tahoma"/>
            <family val="2"/>
          </rPr>
          <t xml:space="preserve">
Anzahl der Schichten in der "Normalauslastung" über alle Produkte der Fertigungseinheit</t>
        </r>
      </text>
    </comment>
    <comment ref="E50" authorId="1" shapeId="0" xr:uid="{00000000-0006-0000-0600-000010000000}">
      <text>
        <r>
          <rPr>
            <sz val="9"/>
            <color indexed="81"/>
            <rFont val="Tahoma"/>
            <family val="2"/>
          </rPr>
          <t xml:space="preserve">
Anzahl der Schichten, die zur Sicherstellung der 15% Flexibilität </t>
        </r>
        <r>
          <rPr>
            <u/>
            <sz val="9"/>
            <color indexed="81"/>
            <rFont val="Tahoma"/>
            <family val="2"/>
          </rPr>
          <t>zusätzlich</t>
        </r>
        <r>
          <rPr>
            <sz val="9"/>
            <color indexed="81"/>
            <rFont val="Tahoma"/>
            <family val="2"/>
          </rPr>
          <t xml:space="preserve"> eingeplant werden. 
</t>
        </r>
      </text>
    </comment>
    <comment ref="G50" authorId="1" shapeId="0" xr:uid="{00000000-0006-0000-0600-000011000000}">
      <text>
        <r>
          <rPr>
            <sz val="9"/>
            <color indexed="81"/>
            <rFont val="Tahoma"/>
            <family val="2"/>
          </rPr>
          <t xml:space="preserve">
</t>
        </r>
        <r>
          <rPr>
            <b/>
            <sz val="9"/>
            <color indexed="81"/>
            <rFont val="Tahoma"/>
            <family val="2"/>
          </rPr>
          <t>Volumenstärkstes Jahr</t>
        </r>
        <r>
          <rPr>
            <sz val="9"/>
            <color indexed="81"/>
            <rFont val="Tahoma"/>
            <family val="2"/>
          </rPr>
          <t xml:space="preserve">
  =Max. Stückzahl eines Jahres laut Nomination
    Agreement 
Die Kapazität für alle Projekte (Erst- und Folgeeinsätze) sind laut Lieferant eingerichtet. 
Die Kapazität konnte ohne Hochrechnung bewertet werden. 
</t>
        </r>
        <r>
          <rPr>
            <b/>
            <sz val="9"/>
            <color indexed="81"/>
            <rFont val="Tahoma"/>
            <family val="2"/>
          </rPr>
          <t xml:space="preserve">
Nur dann mit einem "X" kennzeichnen!</t>
        </r>
      </text>
    </comment>
    <comment ref="C51" authorId="1" shapeId="0" xr:uid="{00000000-0006-0000-0600-000012000000}">
      <text>
        <r>
          <rPr>
            <b/>
            <sz val="9"/>
            <color indexed="81"/>
            <rFont val="Tahoma"/>
            <family val="2"/>
          </rPr>
          <t>Kriterien Ampelschaltung</t>
        </r>
        <r>
          <rPr>
            <sz val="9"/>
            <color indexed="81"/>
            <rFont val="Tahoma"/>
            <family val="2"/>
          </rPr>
          <t xml:space="preserve">
</t>
        </r>
        <r>
          <rPr>
            <b/>
            <sz val="9"/>
            <color indexed="81"/>
            <rFont val="Tahoma"/>
            <family val="2"/>
          </rPr>
          <t xml:space="preserve">Grün: </t>
        </r>
        <r>
          <rPr>
            <sz val="9"/>
            <color indexed="81"/>
            <rFont val="Tahoma"/>
            <family val="2"/>
          </rPr>
          <t xml:space="preserve">Kapazität ≥ Nominierte Stückzahl/Woche
</t>
        </r>
        <r>
          <rPr>
            <b/>
            <sz val="9"/>
            <color indexed="81"/>
            <rFont val="Tahoma"/>
            <family val="2"/>
          </rPr>
          <t xml:space="preserve">Rot: </t>
        </r>
        <r>
          <rPr>
            <sz val="9"/>
            <color indexed="81"/>
            <rFont val="Tahoma"/>
            <family val="2"/>
          </rPr>
          <t xml:space="preserve">  Kapazität &lt; Nominierte Stückzahl/Woche</t>
        </r>
      </text>
    </comment>
    <comment ref="E51" authorId="1" shapeId="0" xr:uid="{00000000-0006-0000-0600-000013000000}">
      <text>
        <r>
          <rPr>
            <b/>
            <sz val="9"/>
            <color indexed="81"/>
            <rFont val="Tahoma"/>
            <family val="2"/>
          </rPr>
          <t>Kriterien Ampelschaltung</t>
        </r>
        <r>
          <rPr>
            <sz val="9"/>
            <color indexed="81"/>
            <rFont val="Tahoma"/>
            <family val="2"/>
          </rPr>
          <t xml:space="preserve">
</t>
        </r>
        <r>
          <rPr>
            <b/>
            <sz val="9"/>
            <color indexed="81"/>
            <rFont val="Tahoma"/>
            <family val="2"/>
          </rPr>
          <t xml:space="preserve">Grün: </t>
        </r>
        <r>
          <rPr>
            <sz val="9"/>
            <color indexed="81"/>
            <rFont val="Tahoma"/>
            <family val="2"/>
          </rPr>
          <t xml:space="preserve">Kapazität ≥ Nominierte Stückzahl/Woche inkl 15% Flexibilität 
</t>
        </r>
        <r>
          <rPr>
            <b/>
            <sz val="9"/>
            <color indexed="81"/>
            <rFont val="Tahoma"/>
            <family val="2"/>
          </rPr>
          <t>Rot:</t>
        </r>
        <r>
          <rPr>
            <sz val="9"/>
            <color indexed="81"/>
            <rFont val="Tahoma"/>
            <family val="2"/>
          </rPr>
          <t xml:space="preserve">   Kapazität &lt; Nominierte Stückzahl/Woche inkl. 15% Flexibilität
</t>
        </r>
      </text>
    </comment>
    <comment ref="G55" authorId="1" shapeId="0" xr:uid="{00000000-0006-0000-0600-000014000000}">
      <text>
        <r>
          <rPr>
            <sz val="9"/>
            <color indexed="81"/>
            <rFont val="Tahoma"/>
            <family val="2"/>
          </rPr>
          <t xml:space="preserve">
  Festgestellte kapazitätsbestimmende  
  Arbeitsfolge während der Abnahme 2TP</t>
        </r>
      </text>
    </comment>
    <comment ref="G57" authorId="1" shapeId="0" xr:uid="{00000000-0006-0000-0600-000015000000}">
      <text>
        <r>
          <rPr>
            <sz val="9"/>
            <color indexed="81"/>
            <rFont val="Tahoma"/>
            <family val="2"/>
          </rPr>
          <t xml:space="preserve">
Summe aller gefertigten Einheiten (Stück) während der Dauer der Abnahme. 
Bei mehreren Serienanlagen oder Serienwerkzeugen sind 
die Stückzahlen zusammen zu fassen.</t>
        </r>
      </text>
    </comment>
    <comment ref="C58" authorId="1" shapeId="0" xr:uid="{00000000-0006-0000-0600-000016000000}">
      <text>
        <r>
          <rPr>
            <sz val="9"/>
            <color indexed="81"/>
            <rFont val="Tahoma"/>
            <family val="2"/>
          </rPr>
          <t xml:space="preserve">
Anzahl der Direkläufer aus Feld "Anzahl gefertigter Teile" </t>
        </r>
      </text>
    </comment>
    <comment ref="E58" authorId="1" shapeId="0" xr:uid="{00000000-0006-0000-0600-000017000000}">
      <text>
        <r>
          <rPr>
            <sz val="9"/>
            <color indexed="81"/>
            <rFont val="Tahoma"/>
            <family val="2"/>
          </rPr>
          <t xml:space="preserve">
Anzahl der Nacharbeitsteile.
Unmittelbar nachgearbeitete und wieder eingeschleuste Bauteile sind NICHT zu berücksichtigen, wenn bereits als i.O. Teil erfasst.
Es sind nur die Bauteile zu berücksichtigen, die separiert und zu einem späteren Zeitpunkt nachgearbeitet werden. </t>
        </r>
      </text>
    </comment>
    <comment ref="G58" authorId="1" shapeId="0" xr:uid="{00000000-0006-0000-0600-000018000000}">
      <text>
        <r>
          <rPr>
            <sz val="9"/>
            <color indexed="81"/>
            <rFont val="Tahoma"/>
            <family val="2"/>
          </rPr>
          <t xml:space="preserve">
Anzahl der Ausschussteile, die aus der Menge der gefertigten Teile entstanden sind.</t>
        </r>
      </text>
    </comment>
    <comment ref="E64" authorId="1" shapeId="0" xr:uid="{00000000-0006-0000-0600-000019000000}">
      <text>
        <r>
          <rPr>
            <b/>
            <sz val="9"/>
            <color indexed="81"/>
            <rFont val="Tahoma"/>
            <family val="2"/>
          </rPr>
          <t xml:space="preserve">
Kriterien Ampelschaltung
ROT:   </t>
        </r>
        <r>
          <rPr>
            <sz val="9"/>
            <color indexed="81"/>
            <rFont val="Tahoma"/>
            <family val="2"/>
          </rPr>
          <t>IST-Stückzahl kleiner als Nominierte Stückzahl/Woche</t>
        </r>
        <r>
          <rPr>
            <b/>
            <sz val="9"/>
            <color indexed="81"/>
            <rFont val="Tahoma"/>
            <family val="2"/>
          </rPr>
          <t xml:space="preserve">
Grün: </t>
        </r>
        <r>
          <rPr>
            <sz val="9"/>
            <color indexed="81"/>
            <rFont val="Tahoma"/>
            <family val="2"/>
          </rPr>
          <t xml:space="preserve">IST-Stückzahl ist größer als Stückzahl inkl. 15% Flexibilität </t>
        </r>
      </text>
    </comment>
    <comment ref="G64" authorId="1" shapeId="0" xr:uid="{00000000-0006-0000-0600-00001A000000}">
      <text>
        <r>
          <rPr>
            <sz val="9"/>
            <color indexed="81"/>
            <rFont val="Tahoma"/>
            <family val="2"/>
          </rPr>
          <t xml:space="preserve">
</t>
        </r>
        <r>
          <rPr>
            <b/>
            <sz val="9"/>
            <color indexed="81"/>
            <rFont val="Tahoma"/>
            <family val="2"/>
          </rPr>
          <t>Kriterien Ampelschaltung</t>
        </r>
        <r>
          <rPr>
            <sz val="9"/>
            <color indexed="81"/>
            <rFont val="Tahoma"/>
            <family val="2"/>
          </rPr>
          <t xml:space="preserve">
</t>
        </r>
        <r>
          <rPr>
            <b/>
            <sz val="9"/>
            <color indexed="81"/>
            <rFont val="Tahoma"/>
            <family val="2"/>
          </rPr>
          <t>ROT</t>
        </r>
        <r>
          <rPr>
            <sz val="9"/>
            <color indexed="81"/>
            <rFont val="Tahoma"/>
            <family val="2"/>
          </rPr>
          <t xml:space="preserve">:   IST-Stückzahl kleiner als Nominierte Stückzahl/Woche
</t>
        </r>
        <r>
          <rPr>
            <b/>
            <sz val="9"/>
            <color indexed="81"/>
            <rFont val="Tahoma"/>
            <family val="2"/>
          </rPr>
          <t>Gelb</t>
        </r>
        <r>
          <rPr>
            <sz val="9"/>
            <color indexed="81"/>
            <rFont val="Tahoma"/>
            <family val="2"/>
          </rPr>
          <t xml:space="preserve">:  IST-Stückzahl zwischen nominierter Stückzahl/Woche 
          und inkl. 15% Flexibilität
</t>
        </r>
        <r>
          <rPr>
            <b/>
            <sz val="9"/>
            <color indexed="81"/>
            <rFont val="Tahoma"/>
            <family val="2"/>
          </rPr>
          <t>Grün</t>
        </r>
        <r>
          <rPr>
            <sz val="9"/>
            <color indexed="81"/>
            <rFont val="Tahoma"/>
            <family val="2"/>
          </rPr>
          <t xml:space="preserve">: IST-Stückzahl ist größer als Stückzahl inkl. 15%
          Flexibilität 
</t>
        </r>
      </text>
    </comment>
    <comment ref="C66" authorId="1" shapeId="0" xr:uid="{00000000-0006-0000-0600-00001B000000}">
      <text>
        <r>
          <rPr>
            <b/>
            <sz val="9"/>
            <color indexed="81"/>
            <rFont val="Tahoma"/>
            <family val="2"/>
          </rPr>
          <t xml:space="preserve">
Kriterien Ampelschaltung
Grün: </t>
        </r>
        <r>
          <rPr>
            <sz val="9"/>
            <color indexed="81"/>
            <rFont val="Tahoma"/>
            <family val="2"/>
          </rPr>
          <t>IST-Stückzahl ≥ Nominierte Stückzahl/Woche</t>
        </r>
        <r>
          <rPr>
            <b/>
            <sz val="9"/>
            <color indexed="81"/>
            <rFont val="Tahoma"/>
            <family val="2"/>
          </rPr>
          <t xml:space="preserve">
Rot:  </t>
        </r>
        <r>
          <rPr>
            <sz val="9"/>
            <color indexed="81"/>
            <rFont val="Tahoma"/>
            <family val="2"/>
          </rPr>
          <t>IST-Stückzahl &lt; Nominierte Stückzahl/Woche</t>
        </r>
        <r>
          <rPr>
            <b/>
            <sz val="9"/>
            <color indexed="81"/>
            <rFont val="Tahoma"/>
            <family val="2"/>
          </rPr>
          <t xml:space="preserve">
</t>
        </r>
      </text>
    </comment>
    <comment ref="E66" authorId="1" shapeId="0" xr:uid="{00000000-0006-0000-0600-00001C000000}">
      <text>
        <r>
          <rPr>
            <sz val="9"/>
            <color indexed="81"/>
            <rFont val="Tahoma"/>
            <family val="2"/>
          </rPr>
          <t xml:space="preserve">
</t>
        </r>
        <r>
          <rPr>
            <b/>
            <sz val="9"/>
            <color indexed="81"/>
            <rFont val="Tahoma"/>
            <family val="2"/>
          </rPr>
          <t>Kriterien Ampelschaltung</t>
        </r>
        <r>
          <rPr>
            <sz val="9"/>
            <color indexed="81"/>
            <rFont val="Tahoma"/>
            <family val="2"/>
          </rPr>
          <t xml:space="preserve">
</t>
        </r>
        <r>
          <rPr>
            <b/>
            <sz val="9"/>
            <color indexed="81"/>
            <rFont val="Tahoma"/>
            <family val="2"/>
          </rPr>
          <t>Grün:</t>
        </r>
        <r>
          <rPr>
            <sz val="9"/>
            <color indexed="81"/>
            <rFont val="Tahoma"/>
            <family val="2"/>
          </rPr>
          <t xml:space="preserve"> IST-Stückzahl ≥ Nominierte Stückzahl/Woche inkl. 15% Flexibilität 
</t>
        </r>
        <r>
          <rPr>
            <b/>
            <sz val="9"/>
            <color indexed="81"/>
            <rFont val="Tahoma"/>
            <family val="2"/>
          </rPr>
          <t>Rot</t>
        </r>
        <r>
          <rPr>
            <sz val="9"/>
            <color indexed="81"/>
            <rFont val="Tahoma"/>
            <family val="2"/>
          </rPr>
          <t xml:space="preserve">:   IST-Stückzahl &lt; Nominierte Stückzahl/Woche inkl. 15% Flexibilität 
</t>
        </r>
      </text>
    </comment>
    <comment ref="C67" authorId="1" shapeId="0" xr:uid="{00000000-0006-0000-0600-00001D000000}">
      <text>
        <r>
          <rPr>
            <sz val="9"/>
            <color indexed="81"/>
            <rFont val="Tahoma"/>
            <family val="2"/>
          </rPr>
          <t xml:space="preserve">
Bitte das jeweilige Feld ankreuzen: NUR EIN FELD AUSWÄHLEN!!
- der Kapazitätsnachweis wurde </t>
        </r>
        <r>
          <rPr>
            <u/>
            <sz val="9"/>
            <color indexed="81"/>
            <rFont val="Tahoma"/>
            <family val="2"/>
          </rPr>
          <t>NICHT</t>
        </r>
        <r>
          <rPr>
            <sz val="9"/>
            <color indexed="81"/>
            <rFont val="Tahoma"/>
            <family val="2"/>
          </rPr>
          <t xml:space="preserve"> erbracht oder
- die erste Kammlinienstückzahl für das Fahrzeug- oder Komponentenprojekt  
  (inklusive 15% Flexibilität) wurde nachgewiesen und/oder 
- die Gesamtkapazität für das volumenstärkste Jahr lt. NA wurde nachgewiesen (inklusive 15% Flexibilität)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Gasinski, Joerg (K-GQK-1/2)</author>
  </authors>
  <commentList>
    <comment ref="C12" authorId="0" shapeId="0" xr:uid="{00000000-0006-0000-0700-000001000000}">
      <text>
        <r>
          <rPr>
            <sz val="9"/>
            <color indexed="81"/>
            <rFont val="Tahoma"/>
            <family val="2"/>
          </rPr>
          <t xml:space="preserve">
Nicht benötigte Ampelfarbe anklicken und löschen</t>
        </r>
      </text>
    </comment>
    <comment ref="C13" authorId="0" shapeId="0" xr:uid="{00000000-0006-0000-0700-000002000000}">
      <text>
        <r>
          <rPr>
            <sz val="9"/>
            <color indexed="81"/>
            <rFont val="Tahoma"/>
            <family val="2"/>
          </rPr>
          <t xml:space="preserve">
Nicht benötigte Ampelfarbe anklicken und löschen</t>
        </r>
      </text>
    </comment>
    <comment ref="C14" authorId="0" shapeId="0" xr:uid="{00000000-0006-0000-0700-000003000000}">
      <text>
        <r>
          <rPr>
            <b/>
            <sz val="9"/>
            <color indexed="81"/>
            <rFont val="Tahoma"/>
            <family val="2"/>
          </rPr>
          <t xml:space="preserve">
</t>
        </r>
        <r>
          <rPr>
            <sz val="9"/>
            <color indexed="81"/>
            <rFont val="Tahoma"/>
            <family val="2"/>
          </rPr>
          <t>Nicht benötigte Ampelfarbe anklicken und löschen</t>
        </r>
      </text>
    </comment>
    <comment ref="G37" authorId="0" shapeId="0" xr:uid="{00000000-0006-0000-0700-000004000000}">
      <text>
        <r>
          <rPr>
            <sz val="9"/>
            <color indexed="81"/>
            <rFont val="Tahoma"/>
            <family val="2"/>
          </rPr>
          <t xml:space="preserve">
Datum zu wann das maximale Volumen beim Lieferanten zur Verfügung stehen muss. Datum ist aus dem Nominatrion Agreement unter "Maximaljahr" zu entnehmen.
</t>
        </r>
      </text>
    </comment>
    <comment ref="C38" authorId="0" shapeId="0" xr:uid="{00000000-0006-0000-0700-000005000000}">
      <text>
        <r>
          <rPr>
            <sz val="9"/>
            <color indexed="81"/>
            <rFont val="Tahoma"/>
            <family val="2"/>
          </rPr>
          <t xml:space="preserve">
Die im Commitmentblatt Neuteile vereinbarte Abnahmestückzahl für 
- die Prozessabnahme oder
- den Leistungstest
ist einzutragen.</t>
        </r>
      </text>
    </comment>
    <comment ref="E38" authorId="0" shapeId="0" xr:uid="{00000000-0006-0000-0700-000006000000}">
      <text>
        <r>
          <rPr>
            <sz val="9"/>
            <color indexed="81"/>
            <rFont val="Tahoma"/>
            <family val="2"/>
          </rPr>
          <t xml:space="preserve">
Datum wann das Abnahmevolumen abgestimmt wurde</t>
        </r>
      </text>
    </comment>
    <comment ref="G46" authorId="0" shapeId="0" xr:uid="{00000000-0006-0000-0700-000007000000}">
      <text>
        <r>
          <rPr>
            <sz val="9"/>
            <color indexed="81"/>
            <rFont val="Tahoma"/>
            <family val="2"/>
          </rPr>
          <t xml:space="preserve">
  Hier bitte die kapazitätsbestimmende Arbeitsfolge festhalten 
  Für Angabe zuständig: Lieferant</t>
        </r>
      </text>
    </comment>
    <comment ref="C48" authorId="0" shapeId="0" xr:uid="{00000000-0006-0000-0700-000008000000}">
      <text>
        <r>
          <rPr>
            <sz val="9"/>
            <color indexed="81"/>
            <rFont val="Tahoma"/>
            <family val="2"/>
          </rPr>
          <t xml:space="preserve">
Der gesamte Anteil der Gruppenkapazität, der für den Volkswagen Konzern auf dieser Maschine (Werkzeug) zur Verfügung steht. 
Beispiel:
75% für Volkswagen
25% für OEM "XY" 
Standardwert= 100% 
</t>
        </r>
      </text>
    </comment>
    <comment ref="E48" authorId="0" shapeId="0" xr:uid="{00000000-0006-0000-0700-000009000000}">
      <text>
        <r>
          <rPr>
            <sz val="9"/>
            <color indexed="81"/>
            <rFont val="Tahoma"/>
            <family val="2"/>
          </rPr>
          <t xml:space="preserve">
Die Gruppenkapazität auf der Maschine, der Anlage oder des Werkzeugs, die explizit für die abzunehmende Teilefamilie (Bauteil) zur Verfügung steht.</t>
        </r>
      </text>
    </comment>
    <comment ref="G48" authorId="0" shapeId="0" xr:uid="{00000000-0006-0000-0700-00000A000000}">
      <text>
        <r>
          <rPr>
            <sz val="9"/>
            <color indexed="81"/>
            <rFont val="Tahoma"/>
            <family val="2"/>
          </rPr>
          <t xml:space="preserve">
Geplante Anlagenverfügbarkeit für den Herstellungsprozess unter Berücksichtigung von:
- Rüstzeiten
- geplanter Anfahrauschuss
- Kleine Störungen
- Ablaufbedingte Wartezeiten
- Taktzeitverluste
- usw.</t>
        </r>
      </text>
    </comment>
    <comment ref="C49" authorId="0" shapeId="0" xr:uid="{00000000-0006-0000-0700-00000B000000}">
      <text>
        <r>
          <rPr>
            <b/>
            <sz val="9"/>
            <color indexed="81"/>
            <rFont val="Tahoma"/>
            <family val="2"/>
          </rPr>
          <t xml:space="preserve">
Achtung!</t>
        </r>
        <r>
          <rPr>
            <sz val="9"/>
            <color indexed="81"/>
            <rFont val="Tahoma"/>
            <family val="2"/>
          </rPr>
          <t xml:space="preserve">
</t>
        </r>
        <r>
          <rPr>
            <b/>
            <sz val="9"/>
            <color indexed="81"/>
            <rFont val="Tahoma"/>
            <family val="2"/>
          </rPr>
          <t xml:space="preserve">
Bei Änderung des Feldes beachten und unterscheiden:</t>
        </r>
        <r>
          <rPr>
            <sz val="9"/>
            <color indexed="81"/>
            <rFont val="Tahoma"/>
            <family val="2"/>
          </rPr>
          <t xml:space="preserve">
1. Bei mehreren Nestern pro Werkzeug die Zykluszeit pro Bauteil ausrechnen und  bei
    "Geplante Zykluszeit/Bauteil" eintragen!
2. Bei parallel laufenden Fertigungslinien oder Werkzeugen die Anzahl entsprechend
    eintragen.
3. Bei einer Kombination von mehreren Nestern sowie parallel laufenden Fertigungslinien oder
    Werkzeugen beide Felder entsprechend 1. und 2. anpassen. 
</t>
        </r>
      </text>
    </comment>
    <comment ref="G49" authorId="0" shapeId="0" xr:uid="{00000000-0006-0000-0700-00000C000000}">
      <text>
        <r>
          <rPr>
            <sz val="9"/>
            <color indexed="81"/>
            <rFont val="Tahoma"/>
            <family val="2"/>
          </rPr>
          <t xml:space="preserve">
Die Kapazität für das </t>
        </r>
        <r>
          <rPr>
            <b/>
            <u/>
            <sz val="9"/>
            <color indexed="81"/>
            <rFont val="Tahoma"/>
            <family val="2"/>
          </rPr>
          <t xml:space="preserve">erste </t>
        </r>
        <r>
          <rPr>
            <sz val="9"/>
            <color indexed="81"/>
            <rFont val="Tahoma"/>
            <family val="2"/>
          </rPr>
          <t>Fahrzeug- oder Aggregateprojekt ist eingerichtet.</t>
        </r>
      </text>
    </comment>
    <comment ref="C50" authorId="0" shapeId="0" xr:uid="{00000000-0006-0000-0700-00000D000000}">
      <text>
        <r>
          <rPr>
            <b/>
            <sz val="9"/>
            <color indexed="81"/>
            <rFont val="Tahoma"/>
            <family val="2"/>
          </rPr>
          <t>Wichtig bei Werkzeugen mit mehreren Nestern!</t>
        </r>
        <r>
          <rPr>
            <b/>
            <sz val="9"/>
            <color indexed="81"/>
            <rFont val="Tahoma"/>
            <family val="2"/>
          </rPr>
          <t xml:space="preserve">
</t>
        </r>
        <r>
          <rPr>
            <sz val="9"/>
            <color indexed="81"/>
            <rFont val="Tahoma"/>
            <family val="2"/>
          </rPr>
          <t xml:space="preserve">
                                                      Geplante Zykluszeit 
Geplante Zykluszeit pro Bauteil = -------------------------------
                                                      Anzahl der Nester
</t>
        </r>
      </text>
    </comment>
    <comment ref="E50" authorId="0" shapeId="0" xr:uid="{00000000-0006-0000-0700-00000E000000}">
      <text>
        <r>
          <rPr>
            <sz val="9"/>
            <color indexed="81"/>
            <rFont val="Tahoma"/>
            <family val="2"/>
          </rPr>
          <t xml:space="preserve">
</t>
        </r>
        <r>
          <rPr>
            <b/>
            <u/>
            <sz val="9"/>
            <color indexed="81"/>
            <rFont val="Tahoma"/>
            <family val="2"/>
          </rPr>
          <t>Geplanter</t>
        </r>
        <r>
          <rPr>
            <sz val="9"/>
            <color indexed="81"/>
            <rFont val="Tahoma"/>
            <family val="2"/>
          </rPr>
          <t xml:space="preserve"> durch den Herstellungsprozess bedingter Ausschuss in %</t>
        </r>
      </text>
    </comment>
    <comment ref="C51" authorId="0" shapeId="0" xr:uid="{00000000-0006-0000-0700-00000F000000}">
      <text>
        <r>
          <rPr>
            <sz val="9"/>
            <color indexed="81"/>
            <rFont val="Tahoma"/>
            <family val="2"/>
          </rPr>
          <t xml:space="preserve">
Anzahl der Schichten in der "Normalauslastung" über alle Produkte der Fertigungseinheit</t>
        </r>
      </text>
    </comment>
    <comment ref="E51" authorId="0" shapeId="0" xr:uid="{00000000-0006-0000-0700-000010000000}">
      <text>
        <r>
          <rPr>
            <sz val="9"/>
            <color indexed="81"/>
            <rFont val="Tahoma"/>
            <family val="2"/>
          </rPr>
          <t xml:space="preserve">
Anzahl der Schichten, die zur Sicherstellung der 15% Flexibilität </t>
        </r>
        <r>
          <rPr>
            <u/>
            <sz val="9"/>
            <color indexed="81"/>
            <rFont val="Tahoma"/>
            <family val="2"/>
          </rPr>
          <t>zusätzlich</t>
        </r>
        <r>
          <rPr>
            <sz val="9"/>
            <color indexed="81"/>
            <rFont val="Tahoma"/>
            <family val="2"/>
          </rPr>
          <t xml:space="preserve"> eingeplant werden. 
</t>
        </r>
      </text>
    </comment>
    <comment ref="G51" authorId="0" shapeId="0" xr:uid="{00000000-0006-0000-0700-000011000000}">
      <text>
        <r>
          <rPr>
            <sz val="9"/>
            <color indexed="81"/>
            <rFont val="Tahoma"/>
            <family val="2"/>
          </rPr>
          <t xml:space="preserve">
</t>
        </r>
        <r>
          <rPr>
            <b/>
            <sz val="9"/>
            <color indexed="81"/>
            <rFont val="Tahoma"/>
            <family val="2"/>
          </rPr>
          <t>Volumenstärkstes Jahr</t>
        </r>
        <r>
          <rPr>
            <sz val="9"/>
            <color indexed="81"/>
            <rFont val="Tahoma"/>
            <family val="2"/>
          </rPr>
          <t xml:space="preserve">
  =Max. Stückzahl eines Jahres laut Nomination
    Agreement 
Die Kapazität für alle Projekte (Erst- und Folgeeinsätze) sind laut Lieferant eingerichtet. 
Die Kapazität konnte ohne Hochrechnung bewertet werden. 
</t>
        </r>
        <r>
          <rPr>
            <b/>
            <sz val="9"/>
            <color indexed="81"/>
            <rFont val="Tahoma"/>
            <family val="2"/>
          </rPr>
          <t xml:space="preserve">
Nur dann mit einem "X" kennzeichnen!</t>
        </r>
      </text>
    </comment>
    <comment ref="C52" authorId="0" shapeId="0" xr:uid="{00000000-0006-0000-0700-000012000000}">
      <text>
        <r>
          <rPr>
            <b/>
            <sz val="9"/>
            <color indexed="81"/>
            <rFont val="Tahoma"/>
            <family val="2"/>
          </rPr>
          <t>Kriterien Ampelschaltung</t>
        </r>
        <r>
          <rPr>
            <sz val="9"/>
            <color indexed="81"/>
            <rFont val="Tahoma"/>
            <family val="2"/>
          </rPr>
          <t xml:space="preserve">
</t>
        </r>
        <r>
          <rPr>
            <b/>
            <sz val="9"/>
            <color indexed="81"/>
            <rFont val="Tahoma"/>
            <family val="2"/>
          </rPr>
          <t>Grün:</t>
        </r>
        <r>
          <rPr>
            <sz val="9"/>
            <color indexed="81"/>
            <rFont val="Tahoma"/>
            <family val="2"/>
          </rPr>
          <t xml:space="preserve"> Kapazität ≥ Nominierte Stückzahl/Woche 
</t>
        </r>
        <r>
          <rPr>
            <b/>
            <sz val="9"/>
            <color indexed="81"/>
            <rFont val="Tahoma"/>
            <family val="2"/>
          </rPr>
          <t>Rot:</t>
        </r>
        <r>
          <rPr>
            <sz val="9"/>
            <color indexed="81"/>
            <rFont val="Tahoma"/>
            <family val="2"/>
          </rPr>
          <t xml:space="preserve">   Kapazität &lt; Nominierte Stückzahl/Woche</t>
        </r>
      </text>
    </comment>
    <comment ref="E52" authorId="0" shapeId="0" xr:uid="{00000000-0006-0000-0700-000013000000}">
      <text>
        <r>
          <rPr>
            <b/>
            <sz val="9"/>
            <color indexed="81"/>
            <rFont val="Tahoma"/>
            <family val="2"/>
          </rPr>
          <t>Kriterien Ampelschaltung</t>
        </r>
        <r>
          <rPr>
            <sz val="9"/>
            <color indexed="81"/>
            <rFont val="Tahoma"/>
            <family val="2"/>
          </rPr>
          <t xml:space="preserve">
</t>
        </r>
        <r>
          <rPr>
            <b/>
            <sz val="9"/>
            <color indexed="81"/>
            <rFont val="Tahoma"/>
            <family val="2"/>
          </rPr>
          <t>Grün:</t>
        </r>
        <r>
          <rPr>
            <sz val="9"/>
            <color indexed="81"/>
            <rFont val="Tahoma"/>
            <family val="2"/>
          </rPr>
          <t xml:space="preserve"> Kapazität ≥ Nominierte Stückzahl/Woche inkl 15% Flexibilität 
</t>
        </r>
        <r>
          <rPr>
            <b/>
            <sz val="9"/>
            <color indexed="81"/>
            <rFont val="Tahoma"/>
            <family val="2"/>
          </rPr>
          <t>Rot:</t>
        </r>
        <r>
          <rPr>
            <sz val="9"/>
            <color indexed="81"/>
            <rFont val="Tahoma"/>
            <family val="2"/>
          </rPr>
          <t xml:space="preserve">   Kapazität &lt; Nominierte Stückzahl/Woche inkl. 15% Flexibilität
</t>
        </r>
      </text>
    </comment>
    <comment ref="G56" authorId="0" shapeId="0" xr:uid="{00000000-0006-0000-0700-000014000000}">
      <text>
        <r>
          <rPr>
            <sz val="9"/>
            <color indexed="81"/>
            <rFont val="Tahoma"/>
            <family val="2"/>
          </rPr>
          <t xml:space="preserve">
  Festgestellte kapazitätsbestimmende  
  Arbeitsfolge während der Abnahme 2TP</t>
        </r>
      </text>
    </comment>
    <comment ref="G58" authorId="0" shapeId="0" xr:uid="{00000000-0006-0000-0700-000015000000}">
      <text>
        <r>
          <rPr>
            <sz val="9"/>
            <color indexed="81"/>
            <rFont val="Tahoma"/>
            <family val="2"/>
          </rPr>
          <t xml:space="preserve">
Summe aller gefertigten Einheiten (Stück) während der Dauer der Abnahme. 
Bei mehreren Serienanlagen oder Serienwerkzeugen sind 
die Stückzahlen zusammen zu fassen.</t>
        </r>
      </text>
    </comment>
    <comment ref="C59" authorId="0" shapeId="0" xr:uid="{00000000-0006-0000-0700-000016000000}">
      <text>
        <r>
          <rPr>
            <sz val="9"/>
            <color indexed="81"/>
            <rFont val="Tahoma"/>
            <family val="2"/>
          </rPr>
          <t xml:space="preserve">
Anzahl der Direkläufer aus Feld "Anzahl gefertigter Teile" </t>
        </r>
      </text>
    </comment>
    <comment ref="E59" authorId="0" shapeId="0" xr:uid="{00000000-0006-0000-0700-000017000000}">
      <text>
        <r>
          <rPr>
            <sz val="9"/>
            <color indexed="81"/>
            <rFont val="Tahoma"/>
            <family val="2"/>
          </rPr>
          <t xml:space="preserve">
Anzahl der Nacharbeitsteile.
Unmittelbar nachgearbeitete und wieder eingeschleuste Bauteile sind NICHT zu berücksichtigen, wenn bereits als i.O. Teil erfasst.
Es sind nur die Bauteile zu berücksichtigen, die separiert und zu einem späteren Zeitpunkt nachgearbeitet werden. </t>
        </r>
      </text>
    </comment>
    <comment ref="G59" authorId="0" shapeId="0" xr:uid="{00000000-0006-0000-0700-000018000000}">
      <text>
        <r>
          <rPr>
            <sz val="9"/>
            <color indexed="81"/>
            <rFont val="Tahoma"/>
            <family val="2"/>
          </rPr>
          <t xml:space="preserve">
Anzahl der Ausschussteile, die aus der Menge der gefertigten Teile entstanden sind.</t>
        </r>
      </text>
    </comment>
    <comment ref="E66" authorId="0" shapeId="0" xr:uid="{00000000-0006-0000-0700-000019000000}">
      <text>
        <r>
          <rPr>
            <b/>
            <sz val="9"/>
            <color indexed="81"/>
            <rFont val="Tahoma"/>
            <family val="2"/>
          </rPr>
          <t xml:space="preserve">
Kriterien Ampelschaltung
ROT:   </t>
        </r>
        <r>
          <rPr>
            <sz val="9"/>
            <color indexed="81"/>
            <rFont val="Tahoma"/>
            <family val="2"/>
          </rPr>
          <t>IST-Stückzahl kleiner als Nominierte Stückzahl/Woche</t>
        </r>
        <r>
          <rPr>
            <b/>
            <sz val="9"/>
            <color indexed="81"/>
            <rFont val="Tahoma"/>
            <family val="2"/>
          </rPr>
          <t xml:space="preserve">
Grün: </t>
        </r>
        <r>
          <rPr>
            <sz val="9"/>
            <color indexed="81"/>
            <rFont val="Tahoma"/>
            <family val="2"/>
          </rPr>
          <t xml:space="preserve">IST-Stückzahl ist größer als Stückzahl inkl. 15% Flexibilität </t>
        </r>
      </text>
    </comment>
    <comment ref="G66" authorId="0" shapeId="0" xr:uid="{00000000-0006-0000-0700-00001A000000}">
      <text>
        <r>
          <rPr>
            <sz val="9"/>
            <color indexed="81"/>
            <rFont val="Tahoma"/>
            <family val="2"/>
          </rPr>
          <t xml:space="preserve">
</t>
        </r>
        <r>
          <rPr>
            <b/>
            <sz val="9"/>
            <color indexed="81"/>
            <rFont val="Tahoma"/>
            <family val="2"/>
          </rPr>
          <t>Kriterien Ampelschaltung</t>
        </r>
        <r>
          <rPr>
            <sz val="9"/>
            <color indexed="81"/>
            <rFont val="Tahoma"/>
            <family val="2"/>
          </rPr>
          <t xml:space="preserve">
</t>
        </r>
        <r>
          <rPr>
            <b/>
            <sz val="9"/>
            <color indexed="81"/>
            <rFont val="Tahoma"/>
            <family val="2"/>
          </rPr>
          <t>ROT</t>
        </r>
        <r>
          <rPr>
            <sz val="9"/>
            <color indexed="81"/>
            <rFont val="Tahoma"/>
            <family val="2"/>
          </rPr>
          <t xml:space="preserve">:   IST-Stückzahl kleiner als Nominierte Stückzahl/Woche
</t>
        </r>
        <r>
          <rPr>
            <b/>
            <sz val="9"/>
            <color indexed="81"/>
            <rFont val="Tahoma"/>
            <family val="2"/>
          </rPr>
          <t>Gelb</t>
        </r>
        <r>
          <rPr>
            <sz val="9"/>
            <color indexed="81"/>
            <rFont val="Tahoma"/>
            <family val="2"/>
          </rPr>
          <t xml:space="preserve">:  IST-Stückzahl zwischen nominierter Stückzahl/Woche 
          und inkl. 15% Flexibilität
</t>
        </r>
        <r>
          <rPr>
            <b/>
            <sz val="9"/>
            <color indexed="81"/>
            <rFont val="Tahoma"/>
            <family val="2"/>
          </rPr>
          <t>Grün</t>
        </r>
        <r>
          <rPr>
            <sz val="9"/>
            <color indexed="81"/>
            <rFont val="Tahoma"/>
            <family val="2"/>
          </rPr>
          <t xml:space="preserve">: IST-Stückzahl ist größer als Stückzahl inkl. 15%
          Flexibilität 
</t>
        </r>
      </text>
    </comment>
    <comment ref="E70" authorId="0" shapeId="0" xr:uid="{00000000-0006-0000-0700-00001B000000}">
      <text>
        <r>
          <rPr>
            <b/>
            <sz val="9"/>
            <color indexed="81"/>
            <rFont val="Tahoma"/>
            <family val="2"/>
          </rPr>
          <t xml:space="preserve">
Kriterien Ampelschaltung
ROT:   </t>
        </r>
        <r>
          <rPr>
            <sz val="9"/>
            <color indexed="81"/>
            <rFont val="Tahoma"/>
            <family val="2"/>
          </rPr>
          <t>IST-Stückzahl kleiner als Nominierte Stückzahl/Woche</t>
        </r>
        <r>
          <rPr>
            <b/>
            <sz val="9"/>
            <color indexed="81"/>
            <rFont val="Tahoma"/>
            <family val="2"/>
          </rPr>
          <t xml:space="preserve">
Grün: </t>
        </r>
        <r>
          <rPr>
            <sz val="9"/>
            <color indexed="81"/>
            <rFont val="Tahoma"/>
            <family val="2"/>
          </rPr>
          <t xml:space="preserve">IST-Stückzahl ist größer als Stückzahl inkl. 15% Flexibilität </t>
        </r>
      </text>
    </comment>
    <comment ref="G70" authorId="0" shapeId="0" xr:uid="{00000000-0006-0000-0700-00001C000000}">
      <text>
        <r>
          <rPr>
            <sz val="9"/>
            <color indexed="81"/>
            <rFont val="Tahoma"/>
            <family val="2"/>
          </rPr>
          <t xml:space="preserve">
</t>
        </r>
        <r>
          <rPr>
            <b/>
            <sz val="9"/>
            <color indexed="81"/>
            <rFont val="Tahoma"/>
            <family val="2"/>
          </rPr>
          <t>Kriterien Ampelschaltung</t>
        </r>
        <r>
          <rPr>
            <sz val="9"/>
            <color indexed="81"/>
            <rFont val="Tahoma"/>
            <family val="2"/>
          </rPr>
          <t xml:space="preserve">
</t>
        </r>
        <r>
          <rPr>
            <b/>
            <sz val="9"/>
            <color indexed="81"/>
            <rFont val="Tahoma"/>
            <family val="2"/>
          </rPr>
          <t>ROT</t>
        </r>
        <r>
          <rPr>
            <sz val="9"/>
            <color indexed="81"/>
            <rFont val="Tahoma"/>
            <family val="2"/>
          </rPr>
          <t xml:space="preserve">:   IST-Stückzahl kleiner als Nominierte Stückzahl/Woche
</t>
        </r>
        <r>
          <rPr>
            <b/>
            <sz val="9"/>
            <color indexed="81"/>
            <rFont val="Tahoma"/>
            <family val="2"/>
          </rPr>
          <t>Gelb</t>
        </r>
        <r>
          <rPr>
            <sz val="9"/>
            <color indexed="81"/>
            <rFont val="Tahoma"/>
            <family val="2"/>
          </rPr>
          <t xml:space="preserve">:  IST-Stückzahl zwischen nominierter Stückzahl/Woche 
          und inkl. 15% Flexibilität
</t>
        </r>
        <r>
          <rPr>
            <b/>
            <sz val="9"/>
            <color indexed="81"/>
            <rFont val="Tahoma"/>
            <family val="2"/>
          </rPr>
          <t>Grün</t>
        </r>
        <r>
          <rPr>
            <sz val="9"/>
            <color indexed="81"/>
            <rFont val="Tahoma"/>
            <family val="2"/>
          </rPr>
          <t xml:space="preserve">: IST-Stückzahl ist größer als Stückzahl inkl. 15%
          Flexibilität </t>
        </r>
      </text>
    </comment>
    <comment ref="C72" authorId="0" shapeId="0" xr:uid="{00000000-0006-0000-0700-00001D000000}">
      <text>
        <r>
          <rPr>
            <b/>
            <sz val="9"/>
            <color indexed="81"/>
            <rFont val="Tahoma"/>
            <family val="2"/>
          </rPr>
          <t xml:space="preserve">
Kriterien Ampelschaltung
Grün:</t>
        </r>
        <r>
          <rPr>
            <sz val="9"/>
            <color indexed="81"/>
            <rFont val="Tahoma"/>
            <family val="2"/>
          </rPr>
          <t xml:space="preserve"> IST-Stückzahl  ≥ Nominierte Stückzahl/Woche</t>
        </r>
        <r>
          <rPr>
            <b/>
            <sz val="9"/>
            <color indexed="81"/>
            <rFont val="Tahoma"/>
            <family val="2"/>
          </rPr>
          <t xml:space="preserve">
Rot:  </t>
        </r>
        <r>
          <rPr>
            <sz val="9"/>
            <color indexed="81"/>
            <rFont val="Tahoma"/>
            <family val="2"/>
          </rPr>
          <t>IST-Stückzahl &lt; Nominierte Stückzahl/Woche</t>
        </r>
        <r>
          <rPr>
            <b/>
            <sz val="9"/>
            <color indexed="81"/>
            <rFont val="Tahoma"/>
            <family val="2"/>
          </rPr>
          <t xml:space="preserve">
</t>
        </r>
      </text>
    </comment>
    <comment ref="E72" authorId="0" shapeId="0" xr:uid="{00000000-0006-0000-0700-00001E000000}">
      <text>
        <r>
          <rPr>
            <sz val="9"/>
            <color indexed="81"/>
            <rFont val="Tahoma"/>
            <family val="2"/>
          </rPr>
          <t xml:space="preserve">
</t>
        </r>
        <r>
          <rPr>
            <b/>
            <sz val="9"/>
            <color indexed="81"/>
            <rFont val="Tahoma"/>
            <family val="2"/>
          </rPr>
          <t>Kriterien Ampelschaltung</t>
        </r>
        <r>
          <rPr>
            <sz val="9"/>
            <color indexed="81"/>
            <rFont val="Tahoma"/>
            <family val="2"/>
          </rPr>
          <t xml:space="preserve">
</t>
        </r>
        <r>
          <rPr>
            <b/>
            <sz val="9"/>
            <color indexed="81"/>
            <rFont val="Tahoma"/>
            <family val="2"/>
          </rPr>
          <t>Grün:</t>
        </r>
        <r>
          <rPr>
            <sz val="9"/>
            <color indexed="81"/>
            <rFont val="Tahoma"/>
            <family val="2"/>
          </rPr>
          <t xml:space="preserve"> IST-Stückzahl ≥ Nominierte Stückzahl/Woche inkl. 15% Flexibilität 
</t>
        </r>
        <r>
          <rPr>
            <b/>
            <sz val="9"/>
            <color indexed="81"/>
            <rFont val="Tahoma"/>
            <family val="2"/>
          </rPr>
          <t>Rot</t>
        </r>
        <r>
          <rPr>
            <sz val="9"/>
            <color indexed="81"/>
            <rFont val="Tahoma"/>
            <family val="2"/>
          </rPr>
          <t xml:space="preserve">:   IST-Stückzahl &lt; Nominierte Stückzahl/Woche inkl. 15% Flexibilität 
</t>
        </r>
      </text>
    </comment>
    <comment ref="C73" authorId="0" shapeId="0" xr:uid="{00000000-0006-0000-0700-00001F000000}">
      <text>
        <r>
          <rPr>
            <sz val="9"/>
            <color indexed="81"/>
            <rFont val="Tahoma"/>
            <family val="2"/>
          </rPr>
          <t xml:space="preserve">
Bitte das jeweilige Feld ankreuzen: NUR EIN FELD AUSWÄHLEN!!
- der Kapazitätsnachweis wurde </t>
        </r>
        <r>
          <rPr>
            <u/>
            <sz val="9"/>
            <color indexed="81"/>
            <rFont val="Tahoma"/>
            <family val="2"/>
          </rPr>
          <t>NICHT</t>
        </r>
        <r>
          <rPr>
            <sz val="9"/>
            <color indexed="81"/>
            <rFont val="Tahoma"/>
            <family val="2"/>
          </rPr>
          <t xml:space="preserve"> erbracht oder
- die erste Kammlinienstückzahl für das Fahrzeug- oder Komponentenprojekt  
  (inklusive 15% Flexibilität) wurde nachgewiesen und/oder 
- die Gesamtkapazität für das volumenstärkste Jahr lt. NA wurde nachgewiesen (inklusive 15% Flexibilität) </t>
        </r>
      </text>
    </comment>
  </commentList>
</comments>
</file>

<file path=xl/sharedStrings.xml><?xml version="1.0" encoding="utf-8"?>
<sst xmlns="http://schemas.openxmlformats.org/spreadsheetml/2006/main" count="701" uniqueCount="384">
  <si>
    <t>Part number</t>
  </si>
  <si>
    <t>xxx</t>
  </si>
  <si>
    <t>Part designation</t>
  </si>
  <si>
    <t>Date</t>
  </si>
  <si>
    <t>Project</t>
  </si>
  <si>
    <t>Department</t>
  </si>
  <si>
    <t>Supplier</t>
  </si>
  <si>
    <t>Station 1</t>
  </si>
  <si>
    <t>Station 5</t>
  </si>
  <si>
    <t>Station 9</t>
  </si>
  <si>
    <t xml:space="preserve">Process: </t>
  </si>
  <si>
    <t>OEE</t>
  </si>
  <si>
    <t>Station 2</t>
  </si>
  <si>
    <t>Station 6</t>
  </si>
  <si>
    <t>Station 10</t>
  </si>
  <si>
    <t>Station 3</t>
  </si>
  <si>
    <t>Station 7</t>
  </si>
  <si>
    <t>Station 11</t>
  </si>
  <si>
    <t>Station 4</t>
  </si>
  <si>
    <t>Station 8</t>
  </si>
  <si>
    <t>Station 12</t>
  </si>
  <si>
    <t>Variable</t>
  </si>
  <si>
    <t>A</t>
  </si>
  <si>
    <t>B</t>
  </si>
  <si>
    <t>C</t>
  </si>
  <si>
    <t>Cavities (number)</t>
  </si>
  <si>
    <t>D</t>
  </si>
  <si>
    <t>E</t>
  </si>
  <si>
    <t>F</t>
  </si>
  <si>
    <t>H</t>
  </si>
  <si>
    <t>(A-E)/A</t>
  </si>
  <si>
    <t>I</t>
  </si>
  <si>
    <t>J</t>
  </si>
  <si>
    <t>F/(F+G)</t>
  </si>
  <si>
    <t>K</t>
  </si>
  <si>
    <t>Date:</t>
  </si>
  <si>
    <t>Department:</t>
  </si>
  <si>
    <t>Part number:</t>
  </si>
  <si>
    <t>Project:</t>
  </si>
  <si>
    <t>Component designation:</t>
  </si>
  <si>
    <t>Supplier:</t>
  </si>
  <si>
    <t>Production facility:</t>
  </si>
  <si>
    <t>DUNS:</t>
  </si>
  <si>
    <t>x</t>
  </si>
  <si>
    <r>
      <rPr>
        <b/>
        <sz val="20"/>
        <color theme="0"/>
        <rFont val="Arial"/>
        <family val="2"/>
        <scheme val="minor"/>
      </rPr>
      <t xml:space="preserve"> </t>
    </r>
    <r>
      <rPr>
        <b/>
        <sz val="20"/>
        <color theme="0"/>
        <rFont val="Arial"/>
        <family val="2"/>
        <scheme val="minor"/>
      </rPr>
      <t>Acceptance certificate</t>
    </r>
    <r>
      <rPr>
        <b/>
        <sz val="16"/>
        <color theme="0"/>
        <rFont val="Arial"/>
        <family val="2"/>
        <scheme val="minor"/>
      </rPr>
      <t xml:space="preserve">             </t>
    </r>
    <r>
      <rPr>
        <b/>
        <sz val="14"/>
        <color theme="0"/>
        <rFont val="Arial"/>
        <family val="2"/>
        <scheme val="minor"/>
      </rPr>
      <t xml:space="preserve">                   </t>
    </r>
  </si>
  <si>
    <r>
      <rPr>
        <b/>
        <u/>
        <sz val="18"/>
        <color rgb="FF000000"/>
        <rFont val="Arial"/>
        <family val="2"/>
        <scheme val="minor"/>
      </rPr>
      <t>P</t>
    </r>
    <r>
      <rPr>
        <b/>
        <sz val="18"/>
        <color rgb="FF000000"/>
        <rFont val="Arial"/>
        <family val="2"/>
        <scheme val="minor"/>
      </rPr>
      <t xml:space="preserve">roduction </t>
    </r>
    <r>
      <rPr>
        <b/>
        <u/>
        <sz val="18"/>
        <color rgb="FF000000"/>
        <rFont val="Arial"/>
        <family val="2"/>
        <scheme val="minor"/>
      </rPr>
      <t>C</t>
    </r>
    <r>
      <rPr>
        <b/>
        <sz val="18"/>
        <color rgb="FF000000"/>
        <rFont val="Arial"/>
        <family val="2"/>
        <scheme val="minor"/>
      </rPr>
      <t xml:space="preserve">apability </t>
    </r>
    <r>
      <rPr>
        <b/>
        <u/>
        <sz val="18"/>
        <color rgb="FF000000"/>
        <rFont val="Arial"/>
        <family val="2"/>
        <scheme val="minor"/>
      </rPr>
      <t>A</t>
    </r>
    <r>
      <rPr>
        <b/>
        <sz val="18"/>
        <color rgb="FF000000"/>
        <rFont val="Arial"/>
        <family val="2"/>
        <scheme val="minor"/>
      </rPr>
      <t>nalysis PCA1 (preliminary check)</t>
    </r>
  </si>
  <si>
    <t xml:space="preserve">Part number: </t>
  </si>
  <si>
    <t xml:space="preserve"> 11B/C 941 005 / 006</t>
  </si>
  <si>
    <t>VW316/6 EU_B</t>
  </si>
  <si>
    <t>Headlights, basic</t>
  </si>
  <si>
    <t>Supplier 1</t>
  </si>
  <si>
    <t>Wolfsburg</t>
  </si>
  <si>
    <t>Overall result*</t>
  </si>
  <si>
    <t xml:space="preserve">      Red*</t>
  </si>
  <si>
    <t xml:space="preserve"> Agreed customer requirements were not met. The project start-up is at risk.
 Production approval will not be granted. The acceptance will need to be repeated.</t>
  </si>
  <si>
    <t xml:space="preserve">      Yellow*</t>
  </si>
  <si>
    <t xml:space="preserve"> Agreed customer requirements were not met in full. Delivery can occur for
a specific period or quantity in accordance with production delivery call-offs, subject to constraints.  </t>
  </si>
  <si>
    <r>
      <t xml:space="preserve">  *) Colour of traffic light set manually. Overall result is comprised of the individual result for </t>
    </r>
    <r>
      <rPr>
        <i/>
        <sz val="9"/>
        <color theme="1"/>
        <rFont val="Arial"/>
        <family val="2"/>
        <scheme val="minor"/>
      </rPr>
      <t>Capacity</t>
    </r>
    <r>
      <rPr>
        <sz val="9"/>
        <color theme="1"/>
        <rFont val="Arial"/>
        <family val="2"/>
        <scheme val="minor"/>
      </rPr>
      <t xml:space="preserve"> and the result of the </t>
    </r>
    <r>
      <rPr>
        <i/>
        <sz val="9"/>
        <color theme="1"/>
        <rFont val="Arial"/>
        <family val="2"/>
        <scheme val="minor"/>
      </rPr>
      <t>Checklist</t>
    </r>
    <r>
      <rPr>
        <sz val="9"/>
        <color theme="1"/>
        <rFont val="Arial"/>
        <family val="2"/>
        <scheme val="minor"/>
      </rPr>
      <t>.</t>
    </r>
    <r>
      <rPr>
        <sz val="9"/>
        <color theme="1"/>
        <rFont val="Arial"/>
        <family val="2"/>
        <scheme val="minor"/>
      </rPr>
      <t xml:space="preserve"> </t>
    </r>
  </si>
  <si>
    <t>X</t>
  </si>
  <si>
    <t xml:space="preserve"> The acceptance will need to be repeated</t>
  </si>
  <si>
    <t>Due date:</t>
  </si>
  <si>
    <t xml:space="preserve"> The acceptance will be performed</t>
  </si>
  <si>
    <t xml:space="preserve">           at the supplier’s own responsibility</t>
  </si>
  <si>
    <t xml:space="preserve">           together with the customer</t>
  </si>
  <si>
    <t xml:space="preserve"> The process chain was assessed using the PCA checklist (annex) with the acceptance </t>
  </si>
  <si>
    <t>Summary of the individual results from the capacity and process assessment</t>
  </si>
  <si>
    <t xml:space="preserve">Number of OK parts/week: </t>
  </si>
  <si>
    <t>Number of OK parts/week incl. 15% flexibility:</t>
  </si>
  <si>
    <r>
      <t xml:space="preserve">Result from the </t>
    </r>
    <r>
      <rPr>
        <b/>
        <i/>
        <sz val="11"/>
        <color theme="1"/>
        <rFont val="Arial"/>
        <family val="2"/>
        <scheme val="minor"/>
      </rPr>
      <t>PCA checklist</t>
    </r>
    <r>
      <rPr>
        <b/>
        <sz val="11"/>
        <color theme="1"/>
        <rFont val="Arial"/>
        <family val="2"/>
        <scheme val="minor"/>
      </rPr>
      <t xml:space="preserve"> 
(process assessment):</t>
    </r>
    <r>
      <rPr>
        <b/>
        <sz val="11"/>
        <color theme="1"/>
        <rFont val="Arial"/>
        <family val="2"/>
        <scheme val="minor"/>
      </rPr>
      <t xml:space="preserve">  </t>
    </r>
  </si>
  <si>
    <t>Management summary</t>
  </si>
  <si>
    <t xml:space="preserve">Summary of the overall status and short explanation of the result.
Also record any stoppages (downtime) at the plants.
The cycle time/length of cycle must be recorded explicitly.
</t>
  </si>
  <si>
    <t>Problems identified</t>
  </si>
  <si>
    <t>Problem:</t>
  </si>
  <si>
    <t>Measure:</t>
  </si>
  <si>
    <t>Responsible:</t>
  </si>
  <si>
    <t>First problem description for the acceptance 
certificate PCA1</t>
  </si>
  <si>
    <t>Measure for the first problem</t>
  </si>
  <si>
    <t>Name Surname</t>
  </si>
  <si>
    <t>Second problem description for the acceptance 
certificate PCA1</t>
  </si>
  <si>
    <t>Measure for the second problem</t>
  </si>
  <si>
    <t>Nominated quantity (capacity) as per Nomination Agreement</t>
  </si>
  <si>
    <t>Nominated quantity:
Annual quantity</t>
  </si>
  <si>
    <t>Incl. 15% flexibility:
Annual quantity</t>
  </si>
  <si>
    <t>Nomination agreement (NA) dated:*</t>
  </si>
  <si>
    <t>Nominated quantity:
Pieces/week*</t>
  </si>
  <si>
    <t>Incl. 15% flexibility:
pieces/week</t>
  </si>
  <si>
    <t>Max. planned volume per year as per NA necessary from: (maximum year)*</t>
  </si>
  <si>
    <t>Acceptance quantity as per New Parts Commitment sheet:*</t>
  </si>
  <si>
    <t>Agreed on:*</t>
  </si>
  <si>
    <t xml:space="preserve">Planned capacity in the sequence of operations that decides capacity: </t>
  </si>
  <si>
    <t>Assembly ASSY</t>
  </si>
  <si>
    <t>Entire Group capacity for the Volkswagen Group:*</t>
  </si>
  <si>
    <t>Group capacity for parts family (component):*</t>
  </si>
  <si>
    <t>Planned plant availability incl. setup times*</t>
  </si>
  <si>
    <t>Number of parallel production lines or 
tools:*</t>
  </si>
  <si>
    <t>Working hours/shift:
Minutes*</t>
  </si>
  <si>
    <t>Peak production capacity for project has been set up 
(incl. 15% flexibility)*</t>
  </si>
  <si>
    <t>Planned cycle time/component:*
Minutes/component</t>
  </si>
  <si>
    <r>
      <rPr>
        <b/>
        <sz val="10"/>
        <rFont val="Arial"/>
        <family val="2"/>
        <scheme val="minor"/>
      </rPr>
      <t xml:space="preserve">Planned reject rate:
</t>
    </r>
    <r>
      <rPr>
        <b/>
        <sz val="9"/>
        <color rgb="FF000000"/>
        <rFont val="Arial"/>
        <family val="2"/>
        <scheme val="minor"/>
      </rPr>
      <t>(process related in %):*</t>
    </r>
  </si>
  <si>
    <t>Peak production quantity for project available from:*</t>
  </si>
  <si>
    <t>Shifts/week:*</t>
  </si>
  <si>
    <t>Maximum shifts:*</t>
  </si>
  <si>
    <t>Capacity for highest-volume year as per NA has been set up (incl. 15% flexibility)**</t>
  </si>
  <si>
    <r>
      <rPr>
        <b/>
        <sz val="10"/>
        <rFont val="Arial"/>
        <family val="2"/>
        <scheme val="minor"/>
      </rPr>
      <t xml:space="preserve">Planned quantity/week:
</t>
    </r>
    <r>
      <rPr>
        <b/>
        <sz val="9"/>
        <color rgb="FF000000"/>
        <rFont val="Arial"/>
        <family val="2"/>
        <scheme val="minor"/>
      </rPr>
      <t>Basis: shifts/week</t>
    </r>
  </si>
  <si>
    <r>
      <rPr>
        <b/>
        <sz val="10"/>
        <rFont val="Arial"/>
        <family val="2"/>
        <scheme val="minor"/>
      </rPr>
      <t xml:space="preserve">Planned maximum quantity/week:
</t>
    </r>
    <r>
      <rPr>
        <b/>
        <sz val="9"/>
        <color rgb="FF000000"/>
        <rFont val="Arial"/>
        <family val="2"/>
        <scheme val="minor"/>
      </rPr>
      <t>Basis: max. shifts</t>
    </r>
  </si>
  <si>
    <t>Capacity for highest-volume year as per NA has been set up from:**</t>
  </si>
  <si>
    <t>Note/ensuring flexibility:</t>
  </si>
  <si>
    <t>Measures to ensure flexibility</t>
  </si>
  <si>
    <t>Quantity identified for the sequence of operations that defines capacity:</t>
  </si>
  <si>
    <t>Number of production lines/
production tools available for the acceptance:*</t>
  </si>
  <si>
    <t>Duration of acceptance:*
Minutes</t>
  </si>
  <si>
    <t>Number of parts produced:*</t>
  </si>
  <si>
    <t>Number of OK parts (first pass):*</t>
  </si>
  <si>
    <t>Number of reworked parts:*</t>
  </si>
  <si>
    <t>Number of these that are reject parts:*</t>
  </si>
  <si>
    <t>Number of OK parts:
(first pass + rework)</t>
  </si>
  <si>
    <t>First pass rate:</t>
  </si>
  <si>
    <t>Reject rate:</t>
  </si>
  <si>
    <r>
      <rPr>
        <b/>
        <sz val="14"/>
        <color theme="1"/>
        <rFont val="Arial"/>
        <family val="2"/>
        <scheme val="minor"/>
      </rPr>
      <t xml:space="preserve">Result of capacity assessment </t>
    </r>
    <r>
      <rPr>
        <b/>
        <sz val="11"/>
        <color theme="1"/>
        <rFont val="Arial"/>
        <family val="2"/>
        <scheme val="minor"/>
      </rPr>
      <t>(actual capacity)</t>
    </r>
  </si>
  <si>
    <t>Nominated quantity:
Pieces/week</t>
  </si>
  <si>
    <r>
      <rPr>
        <b/>
        <sz val="10"/>
        <rFont val="Arial"/>
        <family val="2"/>
        <scheme val="minor"/>
      </rPr>
      <t xml:space="preserve">Proof of capacity was </t>
    </r>
    <r>
      <rPr>
        <b/>
        <u/>
        <sz val="10"/>
        <color rgb="FF000000"/>
        <rFont val="Arial"/>
        <family val="2"/>
        <scheme val="minor"/>
      </rPr>
      <t>NOT</t>
    </r>
    <r>
      <rPr>
        <b/>
        <sz val="10"/>
        <color rgb="FF000000"/>
        <rFont val="Arial"/>
        <family val="2"/>
        <scheme val="minor"/>
      </rPr>
      <t xml:space="preserve"> provided
Capacity assessment RED!</t>
    </r>
  </si>
  <si>
    <t>Proof of peak production quantity for vehicle or component project was provided (incl. 15% flexibility)</t>
  </si>
  <si>
    <t>Proof of capacity for highest-volume year as per NA has been provided (incl. 15% flexibility)**</t>
  </si>
  <si>
    <r>
      <rPr>
        <sz val="10"/>
        <color theme="1"/>
        <rFont val="Arial"/>
        <family val="2"/>
        <scheme val="minor"/>
      </rPr>
      <t xml:space="preserve">   </t>
    </r>
    <r>
      <rPr>
        <sz val="10"/>
        <color theme="1"/>
        <rFont val="Arial"/>
        <family val="2"/>
        <scheme val="minor"/>
      </rPr>
      <t>One field must be selected manually.</t>
    </r>
    <r>
      <rPr>
        <sz val="10"/>
        <color theme="1"/>
        <rFont val="Arial"/>
        <family val="2"/>
        <scheme val="minor"/>
      </rPr>
      <t xml:space="preserve"> </t>
    </r>
    <r>
      <rPr>
        <sz val="10"/>
        <color theme="1"/>
        <rFont val="Arial"/>
        <family val="2"/>
        <scheme val="minor"/>
      </rPr>
      <t>This sets the capacity traffic light on the cover page.</t>
    </r>
    <r>
      <rPr>
        <sz val="10"/>
        <color theme="1"/>
        <rFont val="Arial"/>
        <family val="2"/>
        <scheme val="minor"/>
      </rPr>
      <t xml:space="preserve"> </t>
    </r>
    <r>
      <rPr>
        <u/>
        <sz val="10"/>
        <color theme="1"/>
        <rFont val="Arial"/>
        <family val="2"/>
        <scheme val="minor"/>
      </rPr>
      <t>No</t>
    </r>
    <r>
      <rPr>
        <sz val="10"/>
        <color theme="1"/>
        <rFont val="Arial"/>
        <family val="2"/>
        <scheme val="minor"/>
      </rPr>
      <t xml:space="preserve"> multiple selection!</t>
    </r>
  </si>
  <si>
    <t xml:space="preserve">    **) Only in the event of cross-project or cross-brand use of the parts family/component</t>
  </si>
  <si>
    <t>Plants and tools</t>
  </si>
  <si>
    <t xml:space="preserve">Generation status of the components accepted: </t>
  </si>
  <si>
    <t>01S</t>
  </si>
  <si>
    <t>Note:</t>
  </si>
  <si>
    <t>Note about production tool status</t>
  </si>
  <si>
    <t>Plant/tool status:</t>
  </si>
  <si>
    <t>Production tool</t>
  </si>
  <si>
    <t>Production tool available from:</t>
  </si>
  <si>
    <t>Manufacturing occurs under series production conditions:</t>
  </si>
  <si>
    <t>Note about manufacturing</t>
  </si>
  <si>
    <t>Series production conditions apply from:</t>
  </si>
  <si>
    <t>Continuous production plants:</t>
  </si>
  <si>
    <t>Note on continuous production</t>
  </si>
  <si>
    <t>Continuous production from</t>
  </si>
  <si>
    <t>Status of purchased parts/directed parts</t>
  </si>
  <si>
    <t xml:space="preserve">            Quality and capacity-related approval of all individual parts (including components not listed) granted </t>
  </si>
  <si>
    <t>Target approval deadline:</t>
  </si>
  <si>
    <t>Note about approval of individual parts for assembly</t>
  </si>
  <si>
    <t>Part numbers approved by means of the acceptance certificate</t>
  </si>
  <si>
    <t>Designation:</t>
  </si>
  <si>
    <t>Drawing status:</t>
  </si>
  <si>
    <t xml:space="preserve"> 11B/C 941 035 / 036</t>
  </si>
  <si>
    <t>Headlights, High</t>
  </si>
  <si>
    <t>RHD</t>
  </si>
  <si>
    <t>List of participants/distribution list</t>
  </si>
  <si>
    <t>Name:</t>
  </si>
  <si>
    <t>Company:</t>
  </si>
  <si>
    <t>Quality</t>
  </si>
  <si>
    <t>Test supplier</t>
  </si>
  <si>
    <t>Max Müller</t>
  </si>
  <si>
    <t>Sales</t>
  </si>
  <si>
    <t>Ilse Mustermann</t>
  </si>
  <si>
    <t>Logistics</t>
  </si>
  <si>
    <t>Key account</t>
  </si>
  <si>
    <t>QA Purchased Parts</t>
  </si>
  <si>
    <t>Volkswagen</t>
  </si>
  <si>
    <r>
      <rPr>
        <sz val="11"/>
        <color theme="1"/>
        <rFont val="Arial"/>
        <family val="2"/>
        <scheme val="minor"/>
      </rPr>
      <t>The German calendar applies.</t>
    </r>
    <r>
      <rPr>
        <sz val="11"/>
        <color theme="1"/>
        <rFont val="Arial"/>
        <family val="2"/>
        <scheme val="minor"/>
      </rPr>
      <t xml:space="preserve">
</t>
    </r>
    <r>
      <rPr>
        <sz val="11"/>
        <color theme="1"/>
        <rFont val="Arial"/>
        <family val="2"/>
        <scheme val="minor"/>
      </rPr>
      <t>The measures were agreed with the supplier.</t>
    </r>
    <r>
      <rPr>
        <sz val="11"/>
        <color theme="1"/>
        <rFont val="Arial"/>
        <family val="2"/>
        <scheme val="minor"/>
      </rPr>
      <t xml:space="preserve">
</t>
    </r>
    <r>
      <rPr>
        <sz val="11"/>
        <color theme="1"/>
        <rFont val="Arial"/>
        <family val="2"/>
        <scheme val="minor"/>
      </rPr>
      <t>Baseline for the capacity calculation: 48 weeks/year, 5 work days/week and 15 shifts/week.</t>
    </r>
    <r>
      <rPr>
        <sz val="11"/>
        <color theme="1"/>
        <rFont val="Arial"/>
        <family val="2"/>
        <scheme val="minor"/>
      </rPr>
      <t xml:space="preserve">
</t>
    </r>
    <r>
      <rPr>
        <b/>
        <sz val="11"/>
        <color theme="1"/>
        <rFont val="Arial"/>
        <family val="2"/>
        <scheme val="minor"/>
      </rPr>
      <t>If the supplier is responsible for repeating the acceptance, the supplier can be charged for any additional costs incurred by the Volkswagen Group.</t>
    </r>
  </si>
  <si>
    <t>Name (supplier)</t>
  </si>
  <si>
    <t>Name (Volkswagen)</t>
  </si>
  <si>
    <r>
      <rPr>
        <b/>
        <sz val="11"/>
        <color theme="1"/>
        <rFont val="Arial"/>
        <family val="2"/>
        <scheme val="minor"/>
      </rPr>
      <t>Department:</t>
    </r>
    <r>
      <rPr>
        <sz val="9.5"/>
        <color rgb="FF000000"/>
        <rFont val="Arial"/>
        <family val="2"/>
        <scheme val="minor"/>
      </rPr>
      <t xml:space="preserve"> </t>
    </r>
    <r>
      <rPr>
        <sz val="11"/>
        <color rgb="FF0070C0"/>
        <rFont val="Arial"/>
        <family val="2"/>
        <scheme val="minor"/>
      </rPr>
      <t>BN-KX/X</t>
    </r>
  </si>
  <si>
    <r>
      <rPr>
        <b/>
        <sz val="11"/>
        <color theme="1"/>
        <rFont val="Arial"/>
        <family val="2"/>
        <scheme val="minor"/>
      </rPr>
      <t>Name:</t>
    </r>
    <r>
      <rPr>
        <sz val="9.5"/>
        <color rgb="FF000000"/>
        <rFont val="Arial"/>
        <family val="2"/>
        <scheme val="minor"/>
      </rPr>
      <t xml:space="preserve"> </t>
    </r>
    <r>
      <rPr>
        <sz val="11"/>
        <color rgb="FF0070C0"/>
        <rFont val="Arial"/>
        <family val="2"/>
        <scheme val="minor"/>
      </rPr>
      <t>Name Surname</t>
    </r>
  </si>
  <si>
    <r>
      <rPr>
        <b/>
        <sz val="11"/>
        <color theme="1"/>
        <rFont val="Arial"/>
        <family val="2"/>
        <scheme val="minor"/>
      </rPr>
      <t>Phone:</t>
    </r>
    <r>
      <rPr>
        <b/>
        <sz val="11"/>
        <color rgb="FF0070C0"/>
        <rFont val="Arial"/>
        <family val="2"/>
        <scheme val="minor"/>
      </rPr>
      <t xml:space="preserve"> </t>
    </r>
    <r>
      <rPr>
        <sz val="11"/>
        <color rgb="FF0070C0"/>
        <rFont val="Arial"/>
        <family val="2"/>
        <scheme val="minor"/>
      </rPr>
      <t>05361-9-12345</t>
    </r>
  </si>
  <si>
    <r>
      <rPr>
        <b/>
        <sz val="20"/>
        <color theme="0"/>
        <rFont val="Arial"/>
        <family val="2"/>
        <scheme val="minor"/>
      </rPr>
      <t xml:space="preserve"> </t>
    </r>
    <r>
      <rPr>
        <b/>
        <sz val="20"/>
        <color theme="0"/>
        <rFont val="Arial"/>
        <family val="2"/>
        <scheme val="minor"/>
      </rPr>
      <t>Acceptance certificate</t>
    </r>
    <r>
      <rPr>
        <b/>
        <sz val="16"/>
        <color theme="0"/>
        <rFont val="Arial"/>
        <family val="2"/>
        <scheme val="minor"/>
      </rPr>
      <t xml:space="preserve">       </t>
    </r>
    <r>
      <rPr>
        <b/>
        <sz val="14"/>
        <color theme="0"/>
        <rFont val="Arial"/>
        <family val="2"/>
        <scheme val="minor"/>
      </rPr>
      <t xml:space="preserve">                   </t>
    </r>
  </si>
  <si>
    <r>
      <rPr>
        <b/>
        <u/>
        <sz val="13.5"/>
        <color rgb="FF000000"/>
        <rFont val="Arial"/>
        <family val="2"/>
        <scheme val="minor"/>
      </rPr>
      <t>P</t>
    </r>
    <r>
      <rPr>
        <b/>
        <sz val="13.5"/>
        <color rgb="FF000000"/>
        <rFont val="Arial"/>
        <family val="2"/>
        <scheme val="minor"/>
      </rPr>
      <t xml:space="preserve">roduction </t>
    </r>
    <r>
      <rPr>
        <b/>
        <u/>
        <sz val="13.5"/>
        <color rgb="FF000000"/>
        <rFont val="Arial"/>
        <family val="2"/>
        <scheme val="minor"/>
      </rPr>
      <t>C</t>
    </r>
    <r>
      <rPr>
        <b/>
        <sz val="13.5"/>
        <color rgb="FF000000"/>
        <rFont val="Arial"/>
        <family val="2"/>
        <scheme val="minor"/>
      </rPr>
      <t xml:space="preserve">apability </t>
    </r>
    <r>
      <rPr>
        <b/>
        <u/>
        <sz val="13.5"/>
        <color rgb="FF000000"/>
        <rFont val="Arial"/>
        <family val="2"/>
        <scheme val="minor"/>
      </rPr>
      <t>A</t>
    </r>
    <r>
      <rPr>
        <b/>
        <sz val="13.5"/>
        <color rgb="FF000000"/>
        <rFont val="Arial"/>
        <family val="2"/>
        <scheme val="minor"/>
      </rPr>
      <t>nalysis PCA2</t>
    </r>
  </si>
  <si>
    <r>
      <rPr>
        <b/>
        <u/>
        <sz val="13.5"/>
        <color rgb="FF000000"/>
        <rFont val="Arial"/>
        <family val="2"/>
        <scheme val="minor"/>
      </rPr>
      <t>P</t>
    </r>
    <r>
      <rPr>
        <b/>
        <sz val="13.5"/>
        <color rgb="FF000000"/>
        <rFont val="Arial"/>
        <family val="2"/>
        <scheme val="minor"/>
      </rPr>
      <t xml:space="preserve">roduction </t>
    </r>
    <r>
      <rPr>
        <b/>
        <u/>
        <sz val="13.5"/>
        <color rgb="FF000000"/>
        <rFont val="Arial"/>
        <family val="2"/>
        <scheme val="minor"/>
      </rPr>
      <t>C</t>
    </r>
    <r>
      <rPr>
        <b/>
        <sz val="13.5"/>
        <color rgb="FF000000"/>
        <rFont val="Arial"/>
        <family val="2"/>
        <scheme val="minor"/>
      </rPr>
      <t xml:space="preserve">apability </t>
    </r>
    <r>
      <rPr>
        <b/>
        <u/>
        <sz val="13.5"/>
        <color rgb="FF000000"/>
        <rFont val="Arial"/>
        <family val="2"/>
        <scheme val="minor"/>
      </rPr>
      <t>A</t>
    </r>
    <r>
      <rPr>
        <b/>
        <sz val="13.5"/>
        <color rgb="FF000000"/>
        <rFont val="Arial"/>
        <family val="2"/>
        <scheme val="minor"/>
      </rPr>
      <t>nalysis PCA3</t>
    </r>
  </si>
  <si>
    <t xml:space="preserve"> Agreed customer requirements were not met. The project start-up is at risk.
 Production capability will not be granted. The acceptance will need to be repeated.</t>
  </si>
  <si>
    <t xml:space="preserve"> Agreed customer requirements were not met in full. Delivery can occur for
a specific period or quantity in accordance with production delivery call-offs, subject to constraints.  
 This must be repeated.</t>
  </si>
  <si>
    <t xml:space="preserve">      Green*</t>
  </si>
  <si>
    <t xml:space="preserve"> The agreed customer requirements in relation to capacity and quality were satisfied in full.</t>
  </si>
  <si>
    <r>
      <t xml:space="preserve">  *) Colour of traffic light set manually. Overall result is comprised of the individual result for </t>
    </r>
    <r>
      <rPr>
        <i/>
        <sz val="9"/>
        <color theme="1"/>
        <rFont val="Arial"/>
        <family val="2"/>
        <scheme val="minor"/>
      </rPr>
      <t>Capacity</t>
    </r>
    <r>
      <rPr>
        <sz val="9"/>
        <color theme="1"/>
        <rFont val="Arial"/>
        <family val="2"/>
        <scheme val="minor"/>
      </rPr>
      <t xml:space="preserve"> and the result of the </t>
    </r>
    <r>
      <rPr>
        <i/>
        <sz val="9"/>
        <color theme="1"/>
        <rFont val="Arial"/>
        <family val="2"/>
        <scheme val="minor"/>
      </rPr>
      <t>PCA checklist</t>
    </r>
    <r>
      <rPr>
        <sz val="9"/>
        <color theme="1"/>
        <rFont val="Arial"/>
        <family val="2"/>
        <scheme val="minor"/>
      </rPr>
      <t>.</t>
    </r>
    <r>
      <rPr>
        <sz val="9"/>
        <color theme="1"/>
        <rFont val="Arial"/>
        <family val="2"/>
        <scheme val="minor"/>
      </rPr>
      <t xml:space="preserve"> </t>
    </r>
  </si>
  <si>
    <t xml:space="preserve"> The proof of production capability was assessed using the PCA checklist (annex) with the acceptance </t>
  </si>
  <si>
    <t>Summary of the individual results of the proof of production capability</t>
  </si>
  <si>
    <r>
      <t xml:space="preserve">Result from the </t>
    </r>
    <r>
      <rPr>
        <b/>
        <i/>
        <sz val="10"/>
        <rFont val="Arial"/>
        <family val="2"/>
        <scheme val="minor"/>
      </rPr>
      <t>PCA checklist</t>
    </r>
    <r>
      <rPr>
        <b/>
        <sz val="10"/>
        <rFont val="Arial"/>
        <family val="2"/>
        <scheme val="minor"/>
      </rPr>
      <t xml:space="preserve"> 
(capability assessment):</t>
    </r>
    <r>
      <rPr>
        <b/>
        <sz val="10"/>
        <rFont val="Arial"/>
        <family val="2"/>
        <scheme val="minor"/>
      </rPr>
      <t xml:space="preserve">  </t>
    </r>
  </si>
  <si>
    <t xml:space="preserve">Summary of the overall status and short explanation of the result.
Also record stoppages (downtime) at the plants.
The cycle time/length of cycle must be recorded explicitly.
</t>
  </si>
  <si>
    <t>First problem description for the acceptance 
certificate PCA2</t>
  </si>
  <si>
    <t>Second problem description for the acceptance 
certificate PCA2</t>
  </si>
  <si>
    <r>
      <rPr>
        <b/>
        <sz val="11"/>
        <color theme="1"/>
        <rFont val="Arial"/>
        <family val="2"/>
        <scheme val="minor"/>
      </rPr>
      <t xml:space="preserve">Nominated quantity:
</t>
    </r>
    <r>
      <rPr>
        <b/>
        <sz val="11"/>
        <color theme="0" tint="-0.499984740745262"/>
        <rFont val="Arial"/>
        <family val="2"/>
        <scheme val="minor"/>
      </rPr>
      <t>Annual quantity</t>
    </r>
  </si>
  <si>
    <r>
      <rPr>
        <b/>
        <sz val="10"/>
        <color rgb="FF000000"/>
        <rFont val="Arial"/>
        <family val="2"/>
        <scheme val="minor"/>
      </rPr>
      <t>incl.</t>
    </r>
    <r>
      <rPr>
        <b/>
        <sz val="10"/>
        <color theme="1"/>
        <rFont val="Arial"/>
        <family val="2"/>
        <scheme val="minor"/>
      </rPr>
      <t xml:space="preserve"> 15% flexibility:
</t>
    </r>
    <r>
      <rPr>
        <b/>
        <sz val="10"/>
        <color theme="0" tint="-0.499984740745262"/>
        <rFont val="Arial"/>
        <family val="2"/>
        <scheme val="minor"/>
      </rPr>
      <t>Annual quantity</t>
    </r>
  </si>
  <si>
    <r>
      <rPr>
        <b/>
        <sz val="11"/>
        <color theme="1"/>
        <rFont val="Arial"/>
        <family val="2"/>
        <scheme val="minor"/>
      </rPr>
      <t xml:space="preserve">Nominated quantity:
</t>
    </r>
    <r>
      <rPr>
        <b/>
        <sz val="11"/>
        <color theme="0" tint="-0.499984740745262"/>
        <rFont val="Arial"/>
        <family val="2"/>
        <scheme val="minor"/>
      </rPr>
      <t>Pieces/week*</t>
    </r>
  </si>
  <si>
    <r>
      <rPr>
        <b/>
        <sz val="10"/>
        <color rgb="FF000000"/>
        <rFont val="Arial"/>
        <family val="2"/>
        <scheme val="minor"/>
      </rPr>
      <t>incl.</t>
    </r>
    <r>
      <rPr>
        <b/>
        <sz val="10"/>
        <color theme="1"/>
        <rFont val="Arial"/>
        <family val="2"/>
        <scheme val="minor"/>
      </rPr>
      <t xml:space="preserve"> 15% flexibility:
</t>
    </r>
    <r>
      <rPr>
        <b/>
        <sz val="10"/>
        <color theme="0" tint="-0.499984740745262"/>
        <rFont val="Arial"/>
        <family val="2"/>
        <scheme val="minor"/>
      </rPr>
      <t>pieces/week</t>
    </r>
  </si>
  <si>
    <r>
      <rPr>
        <b/>
        <sz val="10"/>
        <color theme="1"/>
        <rFont val="Arial"/>
        <family val="2"/>
        <scheme val="minor"/>
      </rPr>
      <t xml:space="preserve">Working hours/shift:
</t>
    </r>
    <r>
      <rPr>
        <b/>
        <sz val="10"/>
        <color theme="0" tint="-0.499984740745262"/>
        <rFont val="Arial"/>
        <family val="2"/>
        <scheme val="minor"/>
      </rPr>
      <t>Minutes*</t>
    </r>
  </si>
  <si>
    <r>
      <rPr>
        <b/>
        <sz val="10"/>
        <color theme="1"/>
        <rFont val="Arial"/>
        <family val="2"/>
        <scheme val="minor"/>
      </rPr>
      <t xml:space="preserve">Planned cycle time/component:*
</t>
    </r>
    <r>
      <rPr>
        <b/>
        <sz val="10"/>
        <color theme="0" tint="-0.499984740745262"/>
        <rFont val="Arial"/>
        <family val="2"/>
        <scheme val="minor"/>
      </rPr>
      <t>Minutes/component</t>
    </r>
  </si>
  <si>
    <r>
      <rPr>
        <b/>
        <sz val="10"/>
        <color theme="1"/>
        <rFont val="Arial"/>
        <family val="2"/>
        <scheme val="minor"/>
      </rPr>
      <t xml:space="preserve">Planned reject rate:
</t>
    </r>
    <r>
      <rPr>
        <b/>
        <sz val="9"/>
        <color theme="0" tint="-0.499984740745262"/>
        <rFont val="Arial"/>
        <family val="2"/>
        <scheme val="minor"/>
      </rPr>
      <t>(process related in %):*</t>
    </r>
  </si>
  <si>
    <r>
      <rPr>
        <b/>
        <sz val="10"/>
        <color theme="1"/>
        <rFont val="Arial"/>
        <family val="2"/>
        <scheme val="minor"/>
      </rPr>
      <t xml:space="preserve">Planned quantity/week:
</t>
    </r>
    <r>
      <rPr>
        <b/>
        <sz val="9"/>
        <color theme="0" tint="-0.499984740745262"/>
        <rFont val="Arial"/>
        <family val="2"/>
        <scheme val="minor"/>
      </rPr>
      <t>Basis: shifts/week</t>
    </r>
  </si>
  <si>
    <r>
      <rPr>
        <b/>
        <sz val="10"/>
        <color theme="1"/>
        <rFont val="Arial"/>
        <family val="2"/>
        <scheme val="minor"/>
      </rPr>
      <t xml:space="preserve">Planned maximum quantity/week:
</t>
    </r>
    <r>
      <rPr>
        <b/>
        <sz val="9"/>
        <color theme="0" tint="-0.499984740745262"/>
        <rFont val="Arial"/>
        <family val="2"/>
        <scheme val="minor"/>
      </rPr>
      <t>Basis: max. shifts</t>
    </r>
  </si>
  <si>
    <r>
      <rPr>
        <b/>
        <sz val="10"/>
        <color theme="1"/>
        <rFont val="Arial"/>
        <family val="2"/>
        <scheme val="minor"/>
      </rPr>
      <t xml:space="preserve">Duration of acceptance:*
</t>
    </r>
    <r>
      <rPr>
        <b/>
        <sz val="10"/>
        <color theme="0" tint="-0.499984740745262"/>
        <rFont val="Arial"/>
        <family val="2"/>
        <scheme val="minor"/>
      </rPr>
      <t>Minutes</t>
    </r>
  </si>
  <si>
    <r>
      <rPr>
        <b/>
        <sz val="10"/>
        <color theme="1"/>
        <rFont val="Arial"/>
        <family val="2"/>
        <scheme val="minor"/>
      </rPr>
      <t xml:space="preserve">Number of OK parts:
</t>
    </r>
    <r>
      <rPr>
        <b/>
        <sz val="10"/>
        <color theme="0" tint="-0.499984740745262"/>
        <rFont val="Arial"/>
        <family val="2"/>
        <scheme val="minor"/>
      </rPr>
      <t>(first pass + rework)</t>
    </r>
  </si>
  <si>
    <r>
      <rPr>
        <b/>
        <sz val="11"/>
        <color theme="1"/>
        <rFont val="Arial"/>
        <family val="2"/>
        <scheme val="minor"/>
      </rPr>
      <t xml:space="preserve">Calculation </t>
    </r>
    <r>
      <rPr>
        <b/>
        <u/>
        <sz val="11"/>
        <color theme="1"/>
        <rFont val="Arial"/>
        <family val="2"/>
        <scheme val="minor"/>
      </rPr>
      <t>factors in</t>
    </r>
    <r>
      <rPr>
        <b/>
        <sz val="11"/>
        <color theme="1"/>
        <rFont val="Arial"/>
        <family val="2"/>
        <scheme val="minor"/>
      </rPr>
      <t xml:space="preserve"> plant availability (acceptance volume &lt; 1 shift)</t>
    </r>
  </si>
  <si>
    <t>Number of production lines/
production tools available for the process acceptance:*</t>
  </si>
  <si>
    <r>
      <rPr>
        <b/>
        <sz val="10"/>
        <color theme="1"/>
        <rFont val="Arial"/>
        <family val="2"/>
        <scheme val="minor"/>
      </rPr>
      <t xml:space="preserve">Explanation of the calculation of the quantity of OK parts/week: </t>
    </r>
    <r>
      <rPr>
        <sz val="10"/>
        <color theme="1"/>
        <rFont val="Arial"/>
        <family val="2"/>
        <scheme val="minor"/>
      </rPr>
      <t>Number of OK parts (first pass)/duration of the acceptance × minutes/shift × number of planned shifts × overall Group capacity × Group capacity for parts family × planned plant availability.</t>
    </r>
    <r>
      <rPr>
        <sz val="10"/>
        <color theme="1"/>
        <rFont val="Arial"/>
        <family val="2"/>
        <scheme val="minor"/>
      </rPr>
      <t xml:space="preserve"> </t>
    </r>
    <r>
      <rPr>
        <sz val="10"/>
        <color theme="1"/>
        <rFont val="Arial"/>
        <family val="2"/>
        <scheme val="minor"/>
      </rPr>
      <t xml:space="preserve">Activate calculation in the top row using </t>
    </r>
    <r>
      <rPr>
        <i/>
        <sz val="10"/>
        <color theme="1"/>
        <rFont val="Arial"/>
        <family val="2"/>
        <scheme val="minor"/>
      </rPr>
      <t>X</t>
    </r>
    <r>
      <rPr>
        <sz val="10"/>
        <color theme="1"/>
        <rFont val="Arial"/>
        <family val="2"/>
        <scheme val="minor"/>
      </rPr>
      <t>.</t>
    </r>
  </si>
  <si>
    <r>
      <rPr>
        <b/>
        <sz val="11"/>
        <color theme="1"/>
        <rFont val="Arial"/>
        <family val="2"/>
        <scheme val="minor"/>
      </rPr>
      <t xml:space="preserve">Calculation </t>
    </r>
    <r>
      <rPr>
        <b/>
        <u/>
        <sz val="11"/>
        <color theme="1"/>
        <rFont val="Arial"/>
        <family val="2"/>
        <scheme val="minor"/>
      </rPr>
      <t>without</t>
    </r>
    <r>
      <rPr>
        <b/>
        <sz val="11"/>
        <color theme="1"/>
        <rFont val="Arial"/>
        <family val="2"/>
        <scheme val="minor"/>
      </rPr>
      <t xml:space="preserve"> factoring in plant availability (acceptance volume </t>
    </r>
    <r>
      <rPr>
        <b/>
        <sz val="11"/>
        <color theme="1"/>
        <rFont val="Calibri"/>
        <family val="2"/>
      </rPr>
      <t>≥</t>
    </r>
    <r>
      <rPr>
        <b/>
        <sz val="11"/>
        <color theme="1"/>
        <rFont val="Arial"/>
        <family val="2"/>
      </rPr>
      <t> 1 shift)</t>
    </r>
  </si>
  <si>
    <t>Number of production lines/
production tools available for the performance test:*</t>
  </si>
  <si>
    <r>
      <rPr>
        <b/>
        <sz val="10"/>
        <color theme="1"/>
        <rFont val="Arial"/>
        <family val="2"/>
        <scheme val="minor"/>
      </rPr>
      <t xml:space="preserve">Explanation of the calculation of the quantity of OK parts/week: </t>
    </r>
    <r>
      <rPr>
        <sz val="10"/>
        <color theme="1"/>
        <rFont val="Arial"/>
        <family val="2"/>
        <scheme val="minor"/>
      </rPr>
      <t>Number of OK parts (first pass)/duration of the acceptance × minutes/shift × number of planned shifts × overall Group capacity × Group capacity for parts family.</t>
    </r>
    <r>
      <rPr>
        <sz val="10"/>
        <color theme="1"/>
        <rFont val="Arial"/>
        <family val="2"/>
        <scheme val="minor"/>
      </rPr>
      <t xml:space="preserve"> </t>
    </r>
    <r>
      <rPr>
        <sz val="10"/>
        <color theme="1"/>
        <rFont val="Arial"/>
        <family val="2"/>
        <scheme val="minor"/>
      </rPr>
      <t>Only to be used for an acceptance period of at least one shift.</t>
    </r>
    <r>
      <rPr>
        <sz val="10"/>
        <color theme="1"/>
        <rFont val="Arial"/>
        <family val="2"/>
        <scheme val="minor"/>
      </rPr>
      <t xml:space="preserve"> </t>
    </r>
    <r>
      <rPr>
        <sz val="10"/>
        <color theme="1"/>
        <rFont val="Arial"/>
        <family val="2"/>
        <scheme val="minor"/>
      </rPr>
      <t xml:space="preserve">Activate calculation in the top row using </t>
    </r>
    <r>
      <rPr>
        <i/>
        <sz val="10"/>
        <color theme="1"/>
        <rFont val="Arial"/>
        <family val="2"/>
        <scheme val="minor"/>
      </rPr>
      <t>X</t>
    </r>
    <r>
      <rPr>
        <sz val="10"/>
        <color theme="1"/>
        <rFont val="Arial"/>
        <family val="2"/>
        <scheme val="minor"/>
      </rPr>
      <t>.</t>
    </r>
  </si>
  <si>
    <r>
      <rPr>
        <b/>
        <sz val="11"/>
        <color theme="1"/>
        <rFont val="Arial"/>
        <family val="2"/>
        <scheme val="minor"/>
      </rPr>
      <t xml:space="preserve">Nominated quantity:
</t>
    </r>
    <r>
      <rPr>
        <b/>
        <sz val="11"/>
        <color theme="0" tint="-0.499984740745262"/>
        <rFont val="Arial"/>
        <family val="2"/>
        <scheme val="minor"/>
      </rPr>
      <t>Pieces/week</t>
    </r>
  </si>
  <si>
    <r>
      <rPr>
        <b/>
        <sz val="10"/>
        <color theme="1"/>
        <rFont val="Arial"/>
        <family val="2"/>
        <scheme val="minor"/>
      </rPr>
      <t xml:space="preserve">Proof of capacity was </t>
    </r>
    <r>
      <rPr>
        <b/>
        <u/>
        <sz val="10"/>
        <color theme="1"/>
        <rFont val="Arial"/>
        <family val="2"/>
        <scheme val="minor"/>
      </rPr>
      <t>NOT</t>
    </r>
    <r>
      <rPr>
        <b/>
        <sz val="10"/>
        <color theme="1"/>
        <rFont val="Arial"/>
        <family val="2"/>
        <scheme val="minor"/>
      </rPr>
      <t xml:space="preserve"> provided
Capacity assessment RED!</t>
    </r>
  </si>
  <si>
    <r>
      <rPr>
        <vertAlign val="superscript"/>
        <sz val="10"/>
        <color theme="1"/>
        <rFont val="Arial"/>
        <family val="2"/>
        <scheme val="minor"/>
      </rPr>
      <t xml:space="preserve">    </t>
    </r>
    <r>
      <rPr>
        <vertAlign val="superscript"/>
        <sz val="10"/>
        <color theme="1"/>
        <rFont val="Arial"/>
        <family val="2"/>
        <scheme val="minor"/>
      </rPr>
      <t xml:space="preserve">**) </t>
    </r>
    <r>
      <rPr>
        <sz val="10"/>
        <color theme="1"/>
        <rFont val="Arial"/>
        <family val="2"/>
        <scheme val="minor"/>
      </rPr>
      <t>Only in the event of cross-project or cross-brand use of the parts family/component</t>
    </r>
  </si>
  <si>
    <t>Status of purchased parts</t>
  </si>
  <si>
    <t>Component contains purchased parts/directed parts</t>
  </si>
  <si>
    <t>Component contains no purchased parts/directed parts</t>
  </si>
  <si>
    <t>Audi AG</t>
  </si>
  <si>
    <r>
      <rPr>
        <b/>
        <sz val="11"/>
        <color theme="1"/>
        <rFont val="Arial"/>
        <family val="2"/>
        <scheme val="minor"/>
      </rPr>
      <t xml:space="preserve">Department: </t>
    </r>
    <r>
      <rPr>
        <sz val="11"/>
        <color rgb="FF0070C0"/>
        <rFont val="Arial"/>
        <family val="2"/>
        <scheme val="minor"/>
      </rPr>
      <t>BN-KX/X</t>
    </r>
  </si>
  <si>
    <r>
      <rPr>
        <b/>
        <sz val="11"/>
        <color theme="1"/>
        <rFont val="Arial"/>
        <family val="2"/>
        <scheme val="minor"/>
      </rPr>
      <t xml:space="preserve">Phone: </t>
    </r>
    <r>
      <rPr>
        <sz val="11"/>
        <color rgb="FF0070C0"/>
        <rFont val="Arial"/>
        <family val="2"/>
        <scheme val="minor"/>
      </rPr>
      <t>05361-9-12345</t>
    </r>
  </si>
  <si>
    <t>Kommentare/ Anmerkungen</t>
  </si>
  <si>
    <t>Lieferant:</t>
  </si>
  <si>
    <t>Kommentar des Lieferanten</t>
  </si>
  <si>
    <t>Konzern:</t>
  </si>
  <si>
    <t>Kommentar des SFN-Zuständigen</t>
  </si>
  <si>
    <r>
      <t xml:space="preserve">Berechnung </t>
    </r>
    <r>
      <rPr>
        <b/>
        <u/>
        <sz val="11"/>
        <color theme="1"/>
        <rFont val="Arial"/>
        <family val="2"/>
        <scheme val="minor"/>
      </rPr>
      <t>mit</t>
    </r>
    <r>
      <rPr>
        <b/>
        <sz val="11"/>
        <color theme="1"/>
        <rFont val="Arial"/>
        <family val="2"/>
        <scheme val="minor"/>
      </rPr>
      <t xml:space="preserve"> Berücksichtigung der Anlagenverfügbarkeit (Abnahmevolumen &lt; 1 Schicht)</t>
    </r>
  </si>
  <si>
    <t>X</t>
  </si>
  <si>
    <t>ausblenden</t>
  </si>
  <si>
    <t>Anzahl vorhandene Fertigungslinien/ 
Serienwerkzeuge für die Prozessabnahme:*</t>
  </si>
  <si>
    <t xml:space="preserve">Menge i.O.-Teile/ Woche: </t>
  </si>
  <si>
    <t>Menge i.O.-Teile/Woche inkl 15 % Flexibilität:</t>
  </si>
  <si>
    <r>
      <rPr>
        <b/>
        <sz val="10"/>
        <color theme="1"/>
        <rFont val="Arial"/>
        <family val="2"/>
        <scheme val="minor"/>
      </rPr>
      <t xml:space="preserve">Erläuterung zur Berechnung der Menge i.O.-Teile/Woche: </t>
    </r>
    <r>
      <rPr>
        <sz val="10"/>
        <color theme="1"/>
        <rFont val="Arial"/>
        <family val="2"/>
        <scheme val="minor"/>
      </rPr>
      <t xml:space="preserve">Anzahl i.O.-Teile (Direktläufer) / Dauer der Abnahme x Minuten/Schicht x Anzahl der geplanten Schichten x Gesamtgruppenkapazität x Gruppenkapazität für Teilefamilie x Geplante Anlagenverfügbarkeit. </t>
    </r>
  </si>
  <si>
    <t xml:space="preserve">        Capacity check</t>
  </si>
  <si>
    <t>Creator</t>
  </si>
  <si>
    <t>GSIS - Nr.</t>
  </si>
  <si>
    <t>Location</t>
  </si>
  <si>
    <t>Shifts/week</t>
  </si>
  <si>
    <t>Pcs. Weekly</t>
  </si>
  <si>
    <t>Cycle time in sec.</t>
  </si>
  <si>
    <t>Hours per shift</t>
  </si>
  <si>
    <t>Cavities</t>
  </si>
  <si>
    <t>Reservation for project</t>
  </si>
  <si>
    <t>Machines</t>
  </si>
  <si>
    <t xml:space="preserve"> - input fields</t>
  </si>
  <si>
    <t xml:space="preserve"> - result, protected formulas</t>
  </si>
  <si>
    <t xml:space="preserve"> - values taken over from sheet "OEE calculator" -&gt; important: please review in coordination with supplier if the values are representative (experience, history); if needed enter directly manually.</t>
  </si>
  <si>
    <t>created: S. Brauer K-BN-KA/2  Tel. Nr.: 05361-9-123247</t>
  </si>
  <si>
    <t>OEE-Calculator</t>
  </si>
  <si>
    <t>Formel</t>
  </si>
  <si>
    <t>Observation time (min)</t>
  </si>
  <si>
    <t>Cycle time (sec)</t>
  </si>
  <si>
    <t>A*60/B*C</t>
  </si>
  <si>
    <t>Target-unit by 100% OEE</t>
  </si>
  <si>
    <t>recorded downtime during A (min)</t>
  </si>
  <si>
    <t>total ok parts during A (psc)</t>
  </si>
  <si>
    <t>G</t>
  </si>
  <si>
    <t>total not ok parts during A (psc)</t>
  </si>
  <si>
    <t>Availability</t>
  </si>
  <si>
    <t>(G+F)/((A-E)*60/B*C)</t>
  </si>
  <si>
    <t>Performance</t>
  </si>
  <si>
    <t>H*I*J</t>
  </si>
  <si>
    <t>created: R. Härtel K-BN-KA/1  Tel. Nr.: 05361-9-45487</t>
  </si>
  <si>
    <t xml:space="preserve">       Diagram total-capacity individual stations</t>
  </si>
  <si>
    <t>Max. - demand VW Group</t>
  </si>
  <si>
    <t xml:space="preserve"> psc/week</t>
  </si>
  <si>
    <t>Normal - demand VW Group</t>
  </si>
  <si>
    <t xml:space="preserve"> Protocolo de Aceptación</t>
  </si>
  <si>
    <t>Fecha de realización:</t>
  </si>
  <si>
    <t>Clave de pieza:</t>
  </si>
  <si>
    <t>Proyecto:</t>
  </si>
  <si>
    <t>Familia de piezas:</t>
  </si>
  <si>
    <t>Proveedor:</t>
  </si>
  <si>
    <t>Lugar de fabricación:</t>
  </si>
  <si>
    <t>Resultado global*</t>
  </si>
  <si>
    <t xml:space="preserve">      Rojo*</t>
  </si>
  <si>
    <t xml:space="preserve">      Amarillo*</t>
  </si>
  <si>
    <t xml:space="preserve">      Verde*</t>
  </si>
  <si>
    <t xml:space="preserve">Se cumplen completamente los requerimientos acordados con el cliente en cuanto a capacidad y calidad. </t>
  </si>
  <si>
    <t xml:space="preserve"> Es necesario repetir la prueba de producción</t>
  </si>
  <si>
    <t>Fecha:</t>
  </si>
  <si>
    <t>Repetición a realizar</t>
  </si>
  <si>
    <t xml:space="preserve">           por el proveedor en responsabilidad 
           propia </t>
  </si>
  <si>
    <t xml:space="preserve">           junto con el cliente</t>
  </si>
  <si>
    <t xml:space="preserve">Con la prueba de producción se ha evaluado la cadena de procesos en base a la Lista de Chequeo SFN (Anexo)  </t>
  </si>
  <si>
    <t>Resumen de cada uno de los resultados de la evaluación de la capacidad y del proceso:</t>
  </si>
  <si>
    <t>Cantidad de piezas OK/semana:</t>
  </si>
  <si>
    <t>Cantidad de piezas OK/semana + 15% flexibilidad:</t>
  </si>
  <si>
    <t xml:space="preserve">Resultado de la "Lista de chequeo SFN" 
(Evaluación proceso):  </t>
  </si>
  <si>
    <t>Resumen para la Dirección</t>
  </si>
  <si>
    <t>Problemas detectados</t>
  </si>
  <si>
    <t>Problema:</t>
  </si>
  <si>
    <t>Medida:</t>
  </si>
  <si>
    <t>Responsable:</t>
  </si>
  <si>
    <t>Plazo:</t>
  </si>
  <si>
    <t xml:space="preserve">Unidades de fabricación nominadas (capacidad) </t>
  </si>
  <si>
    <r>
      <t xml:space="preserve">Unidades nominadas:
</t>
    </r>
    <r>
      <rPr>
        <b/>
        <sz val="11"/>
        <color theme="2" tint="-0.249977111117893"/>
        <rFont val="Arial"/>
        <family val="2"/>
        <scheme val="minor"/>
      </rPr>
      <t>unidades de fabr./año</t>
    </r>
    <r>
      <rPr>
        <b/>
        <sz val="11"/>
        <color theme="1"/>
        <rFont val="Arial"/>
        <family val="2"/>
        <scheme val="minor"/>
      </rPr>
      <t xml:space="preserve"> </t>
    </r>
  </si>
  <si>
    <r>
      <t xml:space="preserve">+ 15% Flexibilität:
</t>
    </r>
    <r>
      <rPr>
        <b/>
        <sz val="11"/>
        <color theme="0" tint="-0.499984740745262"/>
        <rFont val="Arial"/>
        <family val="2"/>
        <scheme val="minor"/>
      </rPr>
      <t>unidades/año</t>
    </r>
  </si>
  <si>
    <t>Nomination Agreement (NA) del:*</t>
  </si>
  <si>
    <r>
      <t xml:space="preserve">Unidades nominadas:
</t>
    </r>
    <r>
      <rPr>
        <b/>
        <sz val="11"/>
        <color theme="0" tint="-0.499984740745262"/>
        <rFont val="Arial"/>
        <family val="2"/>
        <scheme val="minor"/>
      </rPr>
      <t>uds de fabr./semana*</t>
    </r>
  </si>
  <si>
    <r>
      <rPr>
        <b/>
        <sz val="11"/>
        <rFont val="Arial"/>
        <family val="2"/>
        <scheme val="minor"/>
      </rPr>
      <t>+</t>
    </r>
    <r>
      <rPr>
        <b/>
        <sz val="11"/>
        <color theme="1"/>
        <rFont val="Arial"/>
        <family val="2"/>
        <scheme val="minor"/>
      </rPr>
      <t xml:space="preserve"> 15% Flexibilidad:
</t>
    </r>
    <r>
      <rPr>
        <b/>
        <sz val="11"/>
        <color theme="0" tint="-0.499984740745262"/>
        <rFont val="Arial"/>
        <family val="2"/>
        <scheme val="minor"/>
      </rPr>
      <t>unidades/semana</t>
    </r>
  </si>
  <si>
    <t>Volumen máx. p.a. seg. NA necesario a partir de:
(año de volumen máximo)*</t>
  </si>
  <si>
    <t>Unidades a comprobar seg. Ficha Commitment de Piezas Nuevas: *</t>
  </si>
  <si>
    <t>Acordado el:*</t>
  </si>
  <si>
    <t>Capacidad planificada en el cuello de botella</t>
  </si>
  <si>
    <t>Capacidad total para el Grupo Volkswagen:*</t>
  </si>
  <si>
    <t>Capacidad total para la familia de piezas (pieza):*</t>
  </si>
  <si>
    <t xml:space="preserve">OEE </t>
  </si>
  <si>
    <r>
      <t xml:space="preserve">Tiempo de trabajo/turno:
</t>
    </r>
    <r>
      <rPr>
        <b/>
        <sz val="10"/>
        <color theme="0" tint="-0.499984740745262"/>
        <rFont val="Arial"/>
        <family val="2"/>
        <scheme val="minor"/>
      </rPr>
      <t>Minutos*</t>
    </r>
  </si>
  <si>
    <t>Capacidad exigida en el proyecto está disponible
(+ 15% flexibilidad)*</t>
  </si>
  <si>
    <r>
      <t xml:space="preserve">Tiempo de ciclo planificado/pieza
</t>
    </r>
    <r>
      <rPr>
        <b/>
        <sz val="10"/>
        <color theme="0" tint="-0.499984740745262"/>
        <rFont val="Arial"/>
        <family val="2"/>
        <scheme val="minor"/>
      </rPr>
      <t>Minutos/Pieza*</t>
    </r>
  </si>
  <si>
    <r>
      <t xml:space="preserve">Rechazos previstos
</t>
    </r>
    <r>
      <rPr>
        <b/>
        <sz val="9"/>
        <color theme="0" tint="-0.499984740745262"/>
        <rFont val="Arial"/>
        <family val="2"/>
        <scheme val="minor"/>
      </rPr>
      <t>(a causa del proceso, en %):*</t>
    </r>
  </si>
  <si>
    <t>Capacidad exigida en el proyecto disponible a partir de:*</t>
  </si>
  <si>
    <t>Turnos/semana:*</t>
  </si>
  <si>
    <t>Cantidad máxima de turnos:*</t>
  </si>
  <si>
    <t xml:space="preserve">Capacidad exigida en el año de mayor volumen seg. NA está disponible
(+ 15% flexibilidad)** </t>
  </si>
  <si>
    <r>
      <t xml:space="preserve">Unidades planificadas /semana:
</t>
    </r>
    <r>
      <rPr>
        <b/>
        <sz val="9"/>
        <color theme="0" tint="-0.499984740745262"/>
        <rFont val="Arial"/>
        <family val="2"/>
        <scheme val="minor"/>
      </rPr>
      <t>Base: turnos/semana</t>
    </r>
  </si>
  <si>
    <r>
      <t xml:space="preserve">Máximas unidades planificadas/semana:
</t>
    </r>
    <r>
      <rPr>
        <b/>
        <sz val="9"/>
        <color theme="0" tint="-0.499984740745262"/>
        <rFont val="Arial"/>
        <family val="2"/>
        <scheme val="minor"/>
      </rPr>
      <t>Base: cantidad máxima de turnos</t>
    </r>
  </si>
  <si>
    <t>Capacidad para año de mayor volumen seg. NA planificada a partir de:**</t>
  </si>
  <si>
    <t xml:space="preserve">Comentario / aseguramiento de la flexibilidad: </t>
  </si>
  <si>
    <t>Con el equipo actual se cubre la capacidad incluyendo la flexibilidad.</t>
  </si>
  <si>
    <t>Capacidad comprobada en el cuello de botella</t>
  </si>
  <si>
    <r>
      <t xml:space="preserve">Duración de la prueba de producción:*
</t>
    </r>
    <r>
      <rPr>
        <b/>
        <sz val="10"/>
        <color theme="0" tint="-0.499984740745262"/>
        <rFont val="Arial"/>
        <family val="2"/>
        <scheme val="minor"/>
      </rPr>
      <t>Minutos</t>
    </r>
  </si>
  <si>
    <t>Cantidad de piezas fabricadas:*</t>
  </si>
  <si>
    <t>Cantidad de piezas OK ("producción directa"):*</t>
  </si>
  <si>
    <t>Cantidad de piezas para retrabajo:*</t>
  </si>
  <si>
    <t>Entre ellas piezas rechazadas:*</t>
  </si>
  <si>
    <r>
      <t xml:space="preserve">Cantidad de piezas OK:
</t>
    </r>
    <r>
      <rPr>
        <b/>
        <sz val="10"/>
        <color theme="0" tint="-0.499984740745262"/>
        <rFont val="Arial"/>
        <family val="2"/>
        <scheme val="minor"/>
      </rPr>
      <t>(Producción directa + retrabajadas)</t>
    </r>
  </si>
  <si>
    <t>Cuota de producción directa:</t>
  </si>
  <si>
    <t>Cuota de rechazos:</t>
  </si>
  <si>
    <r>
      <t xml:space="preserve">Resultado de la evaluación de la capacidad </t>
    </r>
    <r>
      <rPr>
        <b/>
        <sz val="11"/>
        <color theme="1"/>
        <rFont val="Arial"/>
        <family val="2"/>
        <scheme val="minor"/>
      </rPr>
      <t>(capacidad real)</t>
    </r>
  </si>
  <si>
    <r>
      <t xml:space="preserve">Cálculo </t>
    </r>
    <r>
      <rPr>
        <b/>
        <u/>
        <sz val="11"/>
        <color theme="1"/>
        <rFont val="Arial"/>
        <family val="2"/>
        <scheme val="minor"/>
      </rPr>
      <t>incluyendo</t>
    </r>
    <r>
      <rPr>
        <b/>
        <sz val="11"/>
        <color theme="1"/>
        <rFont val="Arial"/>
        <family val="2"/>
        <scheme val="minor"/>
      </rPr>
      <t xml:space="preserve"> la disponibildad de las instalaciones (Producción &lt; 1 Turno)</t>
    </r>
  </si>
  <si>
    <r>
      <rPr>
        <b/>
        <sz val="10"/>
        <color theme="1"/>
        <rFont val="Arial"/>
        <family val="2"/>
        <scheme val="minor"/>
      </rPr>
      <t xml:space="preserve">Aclaración sobre el cálculo de la catidad de piezas OK/semana: </t>
    </r>
    <r>
      <rPr>
        <sz val="10"/>
        <color theme="1"/>
        <rFont val="Arial"/>
        <family val="2"/>
        <scheme val="minor"/>
      </rPr>
      <t>Cantidad piezas OK ("producción directa") / Duración de la prueba de aceptacion x Minutos/turno x Cantidad de turnos planeados x Capacidad todal para el grupo VW x Capacidad todal para la pieza x Disponibilidad de las intalación planificada. Activar el cálculo a través de una "X" en el cuadro superior derecho.</t>
    </r>
  </si>
  <si>
    <r>
      <t xml:space="preserve">Cálculo </t>
    </r>
    <r>
      <rPr>
        <b/>
        <u/>
        <sz val="11"/>
        <color theme="1"/>
        <rFont val="Arial"/>
        <family val="2"/>
        <scheme val="minor"/>
      </rPr>
      <t>sin</t>
    </r>
    <r>
      <rPr>
        <b/>
        <sz val="11"/>
        <color theme="1"/>
        <rFont val="Arial"/>
        <family val="2"/>
        <scheme val="minor"/>
      </rPr>
      <t xml:space="preserve"> incluir la disponibildad de las instalaciones (Producción ≥ 1 Turno)</t>
    </r>
  </si>
  <si>
    <t>Anzahl vorhandene Fertigungslinien/ 
Serienwerkzeuge für den Leistungstest:*</t>
  </si>
  <si>
    <r>
      <rPr>
        <b/>
        <sz val="10"/>
        <color theme="1"/>
        <rFont val="Arial"/>
        <family val="2"/>
        <scheme val="minor"/>
      </rPr>
      <t xml:space="preserve">Aclaración sobre el cálculo de la catidad de piezas OK/semana: </t>
    </r>
    <r>
      <rPr>
        <sz val="10"/>
        <color theme="1"/>
        <rFont val="Arial"/>
        <family val="2"/>
        <scheme val="minor"/>
      </rPr>
      <t>Cantidad piezas OK ("producción directa") / Duración de la prueba de aceptacion x Minutos/turno x Cantidad de turnos planeados x Capacidad todal para el grupo VW x Capacidad todal para la pieza. Activar el cálculo a través de una "X" en el cuadro superior derecho.</t>
    </r>
  </si>
  <si>
    <t>Cantidad piezas OK/semana</t>
  </si>
  <si>
    <t>Cantidad piezas OK/semana + 15% flexibilidad</t>
  </si>
  <si>
    <r>
      <t xml:space="preserve">Prueba de capacidad </t>
    </r>
    <r>
      <rPr>
        <b/>
        <u/>
        <sz val="10"/>
        <color theme="1"/>
        <rFont val="Arial"/>
        <family val="2"/>
        <scheme val="minor"/>
      </rPr>
      <t>NO</t>
    </r>
    <r>
      <rPr>
        <b/>
        <sz val="10"/>
        <color theme="1"/>
        <rFont val="Arial"/>
        <family val="2"/>
        <scheme val="minor"/>
      </rPr>
      <t xml:space="preserve"> ha tenido éxito. Evalauación de la capacidad ROJA! </t>
    </r>
  </si>
  <si>
    <t>Unidades de fabrica-ción exigidas para el proyecto comproba-das (+ 15% flexibilidad)</t>
  </si>
  <si>
    <t>Capacidad para año de mayor volumen seg. NA comprobada (+15% flexibilidad) **</t>
  </si>
  <si>
    <r>
      <t xml:space="preserve">   </t>
    </r>
    <r>
      <rPr>
        <b/>
        <u/>
        <sz val="10"/>
        <color theme="1"/>
        <rFont val="Arial"/>
        <family val="2"/>
        <scheme val="minor"/>
      </rPr>
      <t>Solo</t>
    </r>
    <r>
      <rPr>
        <sz val="10"/>
        <color theme="1"/>
        <rFont val="Arial"/>
        <family val="2"/>
        <scheme val="minor"/>
      </rPr>
      <t xml:space="preserve"> hay que seleccional manualmente </t>
    </r>
    <r>
      <rPr>
        <b/>
        <u/>
        <sz val="10"/>
        <color theme="1"/>
        <rFont val="Arial"/>
        <family val="2"/>
        <scheme val="minor"/>
      </rPr>
      <t>uno</t>
    </r>
    <r>
      <rPr>
        <sz val="10"/>
        <color theme="1"/>
        <rFont val="Arial"/>
        <family val="2"/>
        <scheme val="minor"/>
      </rPr>
      <t xml:space="preserve"> de los 3 campos superiores. A través de ello se define el color del semáforo de la hoja inicial.</t>
    </r>
  </si>
  <si>
    <t xml:space="preserve">    **) Sólo si se utiliza la familia de piezas / la pieza en varios proyectos o marcas </t>
  </si>
  <si>
    <t>Instalaciones y Herramientas</t>
  </si>
  <si>
    <t xml:space="preserve">Estado de generación de las piezas producidas:  </t>
  </si>
  <si>
    <t>Comentario:</t>
  </si>
  <si>
    <t>Estado de las instalaciones/herramientas:</t>
  </si>
  <si>
    <t>Herramienta de serie disponible a partir de:</t>
  </si>
  <si>
    <t xml:space="preserve">Fabricación en condiciones de serie: </t>
  </si>
  <si>
    <t xml:space="preserve">Condiciones de serie a partir de: </t>
  </si>
  <si>
    <t xml:space="preserve">Instalaciones están en cadena: </t>
  </si>
  <si>
    <t>Concatenación a partir de</t>
  </si>
  <si>
    <t>Estado de las piezas suministradas por subproveedores (Zukaufteile)</t>
  </si>
  <si>
    <t>Pieza contiene piezas subcontratadas (Zukaufteile/Setzteile)</t>
  </si>
  <si>
    <t>Pieza NO contiene piezas subcontratadas (Zukaufteile/Setzteile)</t>
  </si>
  <si>
    <t xml:space="preserve">Piezas liberadas a través del Protocolo de Aceptación </t>
  </si>
  <si>
    <t>Denominación:</t>
  </si>
  <si>
    <t>Estatus del plano:</t>
  </si>
  <si>
    <t xml:space="preserve">Lista de participantes / lista de distribución </t>
  </si>
  <si>
    <t>Nombre:</t>
  </si>
  <si>
    <t>Departamento:</t>
  </si>
  <si>
    <t>Empresa:</t>
  </si>
  <si>
    <t>Nombre (Proveedor)</t>
  </si>
  <si>
    <t>Nombre (Volkswagen)</t>
  </si>
  <si>
    <t>XXX</t>
  </si>
  <si>
    <t xml:space="preserve">  *) El color del semáforo se define manualmente. Este resultado global se define en base a los resultados de la capacidad y de la lista de chequeo.</t>
  </si>
  <si>
    <t xml:space="preserve">Cantidad de líneas de fabricación / htas. disponibles durante la aceptación:* </t>
  </si>
  <si>
    <t>Número de líneas de produccion paralelas o moldes/htas.:*</t>
  </si>
  <si>
    <r>
      <t xml:space="preserve">El calendario válido es el de Volkswagen de México.
Las medidas fueron acordadas con el proveedor. 
Base del cálculo de la capacidad:  48 semanas/año, 5 días laborales/semana y 15 turnos/semana 
</t>
    </r>
    <r>
      <rPr>
        <b/>
        <sz val="11"/>
        <color theme="1"/>
        <rFont val="Arial"/>
        <family val="2"/>
        <scheme val="minor"/>
      </rPr>
      <t xml:space="preserve">Si la repetición de la prueba de aceptación es atribuible al proveedor se le podrá facturar el costo suplementario que eso supone para el Grupo Volkswagen. </t>
    </r>
  </si>
  <si>
    <t>xxxx</t>
  </si>
  <si>
    <t>s</t>
  </si>
  <si>
    <r>
      <rPr>
        <b/>
        <u/>
        <sz val="18"/>
        <rFont val="Arial"/>
        <family val="2"/>
        <scheme val="minor"/>
      </rPr>
      <t>S</t>
    </r>
    <r>
      <rPr>
        <b/>
        <sz val="18"/>
        <rFont val="Arial"/>
        <family val="2"/>
        <scheme val="minor"/>
      </rPr>
      <t>erien</t>
    </r>
    <r>
      <rPr>
        <b/>
        <u/>
        <sz val="18"/>
        <rFont val="Arial"/>
        <family val="2"/>
        <scheme val="minor"/>
      </rPr>
      <t>f</t>
    </r>
    <r>
      <rPr>
        <b/>
        <sz val="18"/>
        <rFont val="Arial"/>
        <family val="2"/>
        <scheme val="minor"/>
      </rPr>
      <t>ähigkeits</t>
    </r>
    <r>
      <rPr>
        <b/>
        <u/>
        <sz val="18"/>
        <rFont val="Arial"/>
        <family val="2"/>
        <scheme val="minor"/>
      </rPr>
      <t>n</t>
    </r>
    <r>
      <rPr>
        <b/>
        <sz val="18"/>
        <rFont val="Arial"/>
        <family val="2"/>
        <scheme val="minor"/>
      </rPr>
      <t>achweis SFN1</t>
    </r>
  </si>
  <si>
    <t>SCD Categoria 2.2 Conservación 7 años</t>
  </si>
  <si>
    <t>No se cumplen los requerimientos acordados con el cliente. Está en peligro el lanzamiento del proyecto. No se concede la liberación de serie. Es necesario repetir SFN (1).</t>
  </si>
  <si>
    <t>No se cumplen completamente los requerimientos del cliente. Suministro posible con reservas en un determinado período o volumen segun peticiones de entrega de serie. Requiere repetición de SFN (1)</t>
  </si>
  <si>
    <t>Departamento: KTM</t>
  </si>
  <si>
    <t>Tel.: +54 11xxxxxxx</t>
  </si>
  <si>
    <t>KTM</t>
  </si>
  <si>
    <t>INYECCION 800TN - Molde de 1+1 cavidad</t>
  </si>
  <si>
    <t>VW</t>
  </si>
  <si>
    <t>Andrés Godoy</t>
  </si>
  <si>
    <t>??</t>
  </si>
  <si>
    <t>KW31/20</t>
  </si>
  <si>
    <t>KW14/21</t>
  </si>
  <si>
    <t xml:space="preserve"> 2GJ.863.483 A / 484</t>
  </si>
  <si>
    <t>Revestimiento de Pilar Inferior "A" (LH + RH)</t>
  </si>
  <si>
    <t>Schichten/Woche:</t>
  </si>
  <si>
    <t xml:space="preserve">Prozess: </t>
  </si>
  <si>
    <t>Stck. wöchentlich:</t>
  </si>
  <si>
    <t>KM 4000T                          Componente: Rear spoiler</t>
  </si>
  <si>
    <t>Zykluszeit in sec:</t>
  </si>
  <si>
    <t>Arbeitszeit in Std/Schicht</t>
  </si>
  <si>
    <t>Kavitäten:</t>
  </si>
  <si>
    <t>Reservierung für o.g. Projekt</t>
  </si>
  <si>
    <t>Maschinen:</t>
  </si>
  <si>
    <t>Mesa de corte</t>
  </si>
  <si>
    <t>Costura</t>
  </si>
  <si>
    <t>Proceso PIP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</si>
</sst>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 _€_-;\-* #,##0.00\ _€_-;_-* &quot;-&quot;??\ _€_-;_-@_-"/>
    <numFmt numFmtId="165" formatCode="0.0&quot; s&quot;"/>
    <numFmt numFmtId="166" formatCode="0.0"/>
    <numFmt numFmtId="167" formatCode="#,##0.000"/>
    <numFmt numFmtId="168" formatCode="0.0%"/>
    <numFmt numFmtId="169" formatCode="#,##0_ ;\-#,##0\ "/>
    <numFmt numFmtId="170" formatCode="#,##0.0"/>
  </numFmts>
  <fonts count="94" x14ac:knownFonts="1">
    <font>
      <sz val="9.5"/>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name val="Arial"/>
      <family val="2"/>
      <scheme val="major"/>
    </font>
    <font>
      <sz val="10"/>
      <color theme="9"/>
      <name val="Arial"/>
      <family val="2"/>
      <scheme val="major"/>
    </font>
    <font>
      <sz val="10"/>
      <color rgb="FFFF0000"/>
      <name val="Arial"/>
      <family val="2"/>
      <scheme val="minor"/>
    </font>
    <font>
      <sz val="10"/>
      <color theme="2"/>
      <name val="Arial"/>
      <family val="2"/>
      <scheme val="minor"/>
    </font>
    <font>
      <sz val="10"/>
      <color theme="7"/>
      <name val="Arial"/>
      <family val="2"/>
      <scheme val="minor"/>
    </font>
    <font>
      <b/>
      <sz val="14"/>
      <name val="Arial"/>
      <family val="2"/>
      <scheme val="minor"/>
    </font>
    <font>
      <b/>
      <sz val="10"/>
      <color rgb="FF3366FF"/>
      <name val="Arial"/>
      <family val="2"/>
    </font>
    <font>
      <sz val="10"/>
      <color rgb="FF3366FF"/>
      <name val="Arial"/>
      <family val="2"/>
    </font>
    <font>
      <b/>
      <sz val="9.5"/>
      <name val="Arial"/>
      <family val="2"/>
      <scheme val="minor"/>
    </font>
    <font>
      <b/>
      <sz val="11"/>
      <name val="Arial"/>
      <family val="2"/>
      <scheme val="minor"/>
    </font>
    <font>
      <b/>
      <sz val="10"/>
      <name val="Arial"/>
      <family val="2"/>
    </font>
    <font>
      <sz val="11"/>
      <name val="Arial"/>
      <family val="2"/>
    </font>
    <font>
      <sz val="10"/>
      <name val="Arial"/>
      <family val="2"/>
    </font>
    <font>
      <b/>
      <sz val="10"/>
      <color theme="7" tint="0.249977111117893"/>
      <name val="Arial"/>
      <family val="2"/>
    </font>
    <font>
      <sz val="12"/>
      <name val="Arial"/>
      <family val="2"/>
      <scheme val="minor"/>
    </font>
    <font>
      <b/>
      <sz val="12"/>
      <color rgb="FF00B050"/>
      <name val="Arial"/>
      <family val="2"/>
      <scheme val="minor"/>
    </font>
    <font>
      <sz val="9.5"/>
      <name val="Arial"/>
      <family val="2"/>
      <scheme val="minor"/>
    </font>
    <font>
      <b/>
      <sz val="10"/>
      <color theme="5" tint="0.499984740745262"/>
      <name val="Arial"/>
      <family val="2"/>
      <scheme val="minor"/>
    </font>
    <font>
      <sz val="10"/>
      <name val="Arial"/>
      <family val="2"/>
      <scheme val="minor"/>
    </font>
    <font>
      <b/>
      <sz val="12"/>
      <color theme="2" tint="-0.249977111117893"/>
      <name val="Arial"/>
      <family val="2"/>
      <scheme val="minor"/>
    </font>
    <font>
      <sz val="9.5"/>
      <color rgb="FF0070C0"/>
      <name val="Arial"/>
      <family val="2"/>
      <scheme val="minor"/>
    </font>
    <font>
      <sz val="6"/>
      <name val="Arial"/>
      <family val="2"/>
      <scheme val="minor"/>
    </font>
    <font>
      <b/>
      <sz val="10"/>
      <color theme="0"/>
      <name val="Arial"/>
      <family val="2"/>
    </font>
    <font>
      <b/>
      <sz val="10"/>
      <name val="Arial"/>
      <family val="2"/>
      <scheme val="minor"/>
    </font>
    <font>
      <b/>
      <sz val="11"/>
      <color theme="0"/>
      <name val="Arial"/>
      <family val="2"/>
      <scheme val="minor"/>
    </font>
    <font>
      <b/>
      <sz val="11"/>
      <color theme="1"/>
      <name val="Arial"/>
      <family val="2"/>
      <scheme val="minor"/>
    </font>
    <font>
      <b/>
      <sz val="11"/>
      <color theme="1"/>
      <name val="Arial"/>
      <family val="2"/>
    </font>
    <font>
      <b/>
      <sz val="12"/>
      <color theme="1"/>
      <name val="Arial"/>
      <family val="2"/>
      <scheme val="minor"/>
    </font>
    <font>
      <sz val="11"/>
      <color rgb="FF0070C0"/>
      <name val="Arial"/>
      <family val="2"/>
      <scheme val="minor"/>
    </font>
    <font>
      <b/>
      <sz val="12"/>
      <color theme="1"/>
      <name val="Arial"/>
      <family val="2"/>
    </font>
    <font>
      <b/>
      <sz val="14"/>
      <color theme="1"/>
      <name val="Arial"/>
      <family val="2"/>
    </font>
    <font>
      <b/>
      <sz val="11"/>
      <name val="Arial"/>
      <family val="2"/>
    </font>
    <font>
      <b/>
      <sz val="9"/>
      <color indexed="81"/>
      <name val="Tahoma"/>
      <family val="2"/>
    </font>
    <font>
      <sz val="9"/>
      <color indexed="81"/>
      <name val="Tahoma"/>
      <family val="2"/>
    </font>
    <font>
      <sz val="10"/>
      <color theme="1"/>
      <name val="Arial"/>
      <family val="2"/>
      <scheme val="minor"/>
    </font>
    <font>
      <b/>
      <sz val="14"/>
      <color theme="0"/>
      <name val="Arial"/>
      <family val="2"/>
      <scheme val="minor"/>
    </font>
    <font>
      <b/>
      <sz val="20"/>
      <color theme="0"/>
      <name val="Arial"/>
      <family val="2"/>
      <scheme val="minor"/>
    </font>
    <font>
      <b/>
      <sz val="16"/>
      <color theme="0"/>
      <name val="Arial"/>
      <family val="2"/>
      <scheme val="minor"/>
    </font>
    <font>
      <b/>
      <sz val="18"/>
      <name val="Arial"/>
      <family val="2"/>
      <scheme val="minor"/>
    </font>
    <font>
      <sz val="14"/>
      <color theme="1"/>
      <name val="Arial"/>
      <family val="2"/>
      <scheme val="minor"/>
    </font>
    <font>
      <b/>
      <sz val="12"/>
      <name val="Arial"/>
      <family val="2"/>
      <scheme val="minor"/>
    </font>
    <font>
      <sz val="10"/>
      <color rgb="FF0070C0"/>
      <name val="Arial"/>
      <family val="2"/>
      <scheme val="minor"/>
    </font>
    <font>
      <b/>
      <sz val="14"/>
      <color theme="1"/>
      <name val="Arial"/>
      <family val="2"/>
      <scheme val="minor"/>
    </font>
    <font>
      <b/>
      <sz val="10"/>
      <color theme="1"/>
      <name val="Arial"/>
      <family val="2"/>
      <scheme val="minor"/>
    </font>
    <font>
      <sz val="8"/>
      <color theme="1"/>
      <name val="Arial"/>
      <family val="2"/>
      <scheme val="minor"/>
    </font>
    <font>
      <b/>
      <sz val="8"/>
      <color theme="1"/>
      <name val="Arial"/>
      <family val="2"/>
      <scheme val="minor"/>
    </font>
    <font>
      <sz val="9"/>
      <color theme="1"/>
      <name val="Arial"/>
      <family val="2"/>
      <scheme val="minor"/>
    </font>
    <font>
      <b/>
      <sz val="16"/>
      <name val="Arial"/>
      <family val="2"/>
      <scheme val="minor"/>
    </font>
    <font>
      <b/>
      <sz val="16"/>
      <color rgb="FF0070C0"/>
      <name val="Arial"/>
      <family val="2"/>
      <scheme val="minor"/>
    </font>
    <font>
      <sz val="12"/>
      <color theme="1"/>
      <name val="Arial"/>
      <family val="2"/>
      <scheme val="minor"/>
    </font>
    <font>
      <b/>
      <sz val="14"/>
      <color rgb="FF0070C0"/>
      <name val="Arial"/>
      <family val="2"/>
      <scheme val="minor"/>
    </font>
    <font>
      <b/>
      <sz val="11"/>
      <color rgb="FF0070C0"/>
      <name val="Arial"/>
      <family val="2"/>
      <scheme val="minor"/>
    </font>
    <font>
      <sz val="11"/>
      <name val="Arial"/>
      <family val="2"/>
      <scheme val="minor"/>
    </font>
    <font>
      <b/>
      <sz val="13.5"/>
      <color theme="1"/>
      <name val="Arial"/>
      <family val="2"/>
      <scheme val="minor"/>
    </font>
    <font>
      <sz val="13.5"/>
      <color theme="1"/>
      <name val="Arial"/>
      <family val="2"/>
      <scheme val="minor"/>
    </font>
    <font>
      <b/>
      <u/>
      <sz val="11"/>
      <color theme="1"/>
      <name val="Arial"/>
      <family val="2"/>
      <scheme val="minor"/>
    </font>
    <font>
      <b/>
      <sz val="16"/>
      <color theme="1"/>
      <name val="Arial"/>
      <family val="2"/>
      <scheme val="minor"/>
    </font>
    <font>
      <u/>
      <sz val="10"/>
      <color theme="1"/>
      <name val="Arial"/>
      <family val="2"/>
      <scheme val="minor"/>
    </font>
    <font>
      <sz val="10"/>
      <color rgb="FF92D050"/>
      <name val="Arial"/>
      <family val="2"/>
      <scheme val="minor"/>
    </font>
    <font>
      <b/>
      <u/>
      <sz val="9"/>
      <color indexed="81"/>
      <name val="Tahoma"/>
      <family val="2"/>
    </font>
    <font>
      <u/>
      <sz val="9"/>
      <color indexed="81"/>
      <name val="Tahoma"/>
      <family val="2"/>
    </font>
    <font>
      <b/>
      <sz val="13.5"/>
      <name val="Arial"/>
      <family val="2"/>
      <scheme val="minor"/>
    </font>
    <font>
      <sz val="13.5"/>
      <name val="Arial"/>
      <family val="2"/>
      <scheme val="minor"/>
    </font>
    <font>
      <b/>
      <sz val="11"/>
      <color theme="0" tint="-0.499984740745262"/>
      <name val="Arial"/>
      <family val="2"/>
      <scheme val="minor"/>
    </font>
    <font>
      <b/>
      <sz val="10"/>
      <color theme="0" tint="-0.499984740745262"/>
      <name val="Arial"/>
      <family val="2"/>
      <scheme val="minor"/>
    </font>
    <font>
      <b/>
      <sz val="9"/>
      <color theme="0" tint="-0.499984740745262"/>
      <name val="Arial"/>
      <family val="2"/>
      <scheme val="minor"/>
    </font>
    <font>
      <b/>
      <sz val="11"/>
      <color theme="1"/>
      <name val="Calibri"/>
      <family val="2"/>
    </font>
    <font>
      <b/>
      <u/>
      <sz val="10"/>
      <color theme="1"/>
      <name val="Arial"/>
      <family val="2"/>
      <scheme val="minor"/>
    </font>
    <font>
      <vertAlign val="superscript"/>
      <sz val="10"/>
      <color theme="1"/>
      <name val="Arial"/>
      <family val="2"/>
      <scheme val="minor"/>
    </font>
    <font>
      <strike/>
      <sz val="9"/>
      <color rgb="FF0070C0"/>
      <name val="Arial"/>
      <family val="2"/>
      <scheme val="minor"/>
    </font>
    <font>
      <sz val="9.5"/>
      <color rgb="FF000000"/>
      <name val="Arial"/>
      <family val="2"/>
      <scheme val="minor"/>
    </font>
    <font>
      <b/>
      <u/>
      <sz val="18"/>
      <color rgb="FF000000"/>
      <name val="Arial"/>
      <family val="2"/>
      <scheme val="minor"/>
    </font>
    <font>
      <b/>
      <sz val="18"/>
      <color rgb="FF000000"/>
      <name val="Arial"/>
      <family val="2"/>
      <scheme val="minor"/>
    </font>
    <font>
      <i/>
      <sz val="9"/>
      <color theme="1"/>
      <name val="Arial"/>
      <family val="2"/>
      <scheme val="minor"/>
    </font>
    <font>
      <b/>
      <i/>
      <sz val="11"/>
      <color theme="1"/>
      <name val="Arial"/>
      <family val="2"/>
      <scheme val="minor"/>
    </font>
    <font>
      <b/>
      <sz val="9"/>
      <color rgb="FF000000"/>
      <name val="Arial"/>
      <family val="2"/>
      <scheme val="minor"/>
    </font>
    <font>
      <b/>
      <u/>
      <sz val="10"/>
      <color rgb="FF000000"/>
      <name val="Arial"/>
      <family val="2"/>
      <scheme val="minor"/>
    </font>
    <font>
      <b/>
      <sz val="10"/>
      <color rgb="FF000000"/>
      <name val="Arial"/>
      <family val="2"/>
      <scheme val="minor"/>
    </font>
    <font>
      <b/>
      <u/>
      <sz val="13.5"/>
      <color rgb="FF000000"/>
      <name val="Arial"/>
      <family val="2"/>
      <scheme val="minor"/>
    </font>
    <font>
      <b/>
      <sz val="13.5"/>
      <color rgb="FF000000"/>
      <name val="Arial"/>
      <family val="2"/>
      <scheme val="minor"/>
    </font>
    <font>
      <b/>
      <i/>
      <sz val="10"/>
      <name val="Arial"/>
      <family val="2"/>
      <scheme val="minor"/>
    </font>
    <font>
      <i/>
      <sz val="10"/>
      <color theme="1"/>
      <name val="Arial"/>
      <family val="2"/>
      <scheme val="minor"/>
    </font>
    <font>
      <sz val="11"/>
      <color rgb="FFFF0000"/>
      <name val="Arial"/>
      <family val="2"/>
      <scheme val="minor"/>
    </font>
    <font>
      <b/>
      <sz val="9.5"/>
      <color rgb="FFFF0000"/>
      <name val="Arial"/>
      <family val="2"/>
      <scheme val="minor"/>
    </font>
    <font>
      <b/>
      <sz val="9.5"/>
      <color rgb="FF0070C0"/>
      <name val="Arial"/>
      <family val="2"/>
      <scheme val="minor"/>
    </font>
    <font>
      <b/>
      <sz val="11"/>
      <color theme="2" tint="-0.249977111117893"/>
      <name val="Arial"/>
      <family val="2"/>
      <scheme val="minor"/>
    </font>
    <font>
      <b/>
      <sz val="9"/>
      <color theme="1"/>
      <name val="Arial"/>
      <family val="2"/>
      <scheme val="minor"/>
    </font>
    <font>
      <b/>
      <u/>
      <sz val="18"/>
      <name val="Arial"/>
      <family val="2"/>
      <scheme val="minor"/>
    </font>
  </fonts>
  <fills count="1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theme="0" tint="-4.9989318521683403E-2"/>
        <bgColor indexed="64"/>
      </patternFill>
    </fill>
    <fill>
      <patternFill patternType="solid">
        <fgColor theme="0"/>
        <bgColor indexed="64"/>
      </patternFill>
    </fill>
    <fill>
      <patternFill patternType="solid">
        <fgColor theme="0"/>
        <bgColor rgb="FF000000"/>
      </patternFill>
    </fill>
    <fill>
      <patternFill patternType="solid">
        <fgColor rgb="FFFFFF00"/>
        <bgColor indexed="64"/>
      </patternFill>
    </fill>
    <fill>
      <patternFill patternType="solid">
        <fgColor rgb="FFFFFF00"/>
        <bgColor rgb="FF000000"/>
      </patternFill>
    </fill>
    <fill>
      <patternFill patternType="solid">
        <fgColor theme="7" tint="0.89999084444715716"/>
        <bgColor indexed="64"/>
      </patternFill>
    </fill>
    <fill>
      <patternFill patternType="solid">
        <fgColor theme="7" tint="0.89999084444715716"/>
        <bgColor rgb="FF000000"/>
      </patternFill>
    </fill>
    <fill>
      <patternFill patternType="solid">
        <fgColor rgb="FF000000"/>
        <bgColor indexed="64"/>
      </patternFill>
    </fill>
    <fill>
      <patternFill patternType="solid">
        <fgColor theme="0" tint="-0.14999847407452621"/>
        <bgColor indexed="64"/>
      </patternFill>
    </fill>
    <fill>
      <patternFill patternType="solid">
        <fgColor rgb="FF000066"/>
        <bgColor indexed="64"/>
      </patternFill>
    </fill>
    <fill>
      <patternFill patternType="solid">
        <fgColor rgb="FFCDF2FF"/>
        <bgColor indexed="64"/>
      </patternFill>
    </fill>
    <fill>
      <patternFill patternType="solid">
        <fgColor theme="0" tint="-0.14996795556505021"/>
        <bgColor indexed="64"/>
      </patternFill>
    </fill>
    <fill>
      <patternFill patternType="solid">
        <fgColor theme="5" tint="0.89999084444715716"/>
        <bgColor indexed="64"/>
      </patternFill>
    </fill>
  </fills>
  <borders count="112">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left/>
      <right style="medium">
        <color indexed="64"/>
      </right>
      <top/>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top style="thin">
        <color indexed="64"/>
      </top>
      <bottom/>
      <diagonal/>
    </border>
    <border>
      <left/>
      <right style="thick">
        <color indexed="64"/>
      </right>
      <top style="thin">
        <color indexed="64"/>
      </top>
      <bottom/>
      <diagonal/>
    </border>
    <border>
      <left style="thick">
        <color indexed="64"/>
      </left>
      <right style="thin">
        <color indexed="64"/>
      </right>
      <top/>
      <bottom/>
      <diagonal/>
    </border>
    <border>
      <left/>
      <right style="thick">
        <color indexed="64"/>
      </right>
      <top style="thin">
        <color indexed="64"/>
      </top>
      <bottom style="thin">
        <color indexed="64"/>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n">
        <color indexed="64"/>
      </bottom>
      <diagonal/>
    </border>
    <border>
      <left style="thick">
        <color indexed="64"/>
      </left>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ck">
        <color indexed="64"/>
      </bottom>
      <diagonal/>
    </border>
    <border>
      <left/>
      <right/>
      <top style="thick">
        <color indexed="64"/>
      </top>
      <bottom style="medium">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auto="1"/>
      </top>
      <bottom style="medium">
        <color auto="1"/>
      </bottom>
      <diagonal/>
    </border>
    <border>
      <left style="medium">
        <color indexed="64"/>
      </left>
      <right style="thin">
        <color indexed="64"/>
      </right>
      <top style="medium">
        <color rgb="FFFF0000"/>
      </top>
      <bottom style="medium">
        <color rgb="FFFF0000"/>
      </bottom>
      <diagonal/>
    </border>
    <border>
      <left style="thin">
        <color indexed="64"/>
      </left>
      <right style="medium">
        <color rgb="FFFF0000"/>
      </right>
      <top style="medium">
        <color rgb="FFFF0000"/>
      </top>
      <bottom style="medium">
        <color rgb="FFFF0000"/>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rgb="FFFF0000"/>
      </top>
      <bottom/>
      <diagonal/>
    </border>
    <border>
      <left style="thin">
        <color indexed="64"/>
      </left>
      <right style="medium">
        <color rgb="FFFF0000"/>
      </right>
      <top style="medium">
        <color rgb="FFFF0000"/>
      </top>
      <bottom/>
      <diagonal/>
    </border>
    <border>
      <left/>
      <right style="thin">
        <color indexed="64"/>
      </right>
      <top style="thin">
        <color indexed="64"/>
      </top>
      <bottom/>
      <diagonal/>
    </border>
    <border>
      <left/>
      <right/>
      <top style="thin">
        <color indexed="64"/>
      </top>
      <bottom style="medium">
        <color indexed="64"/>
      </bottom>
      <diagonal/>
    </border>
    <border>
      <left style="medium">
        <color indexed="64"/>
      </left>
      <right style="thin">
        <color indexed="64"/>
      </right>
      <top/>
      <bottom/>
      <diagonal/>
    </border>
    <border>
      <left style="medium">
        <color indexed="64"/>
      </left>
      <right/>
      <top/>
      <bottom style="thin">
        <color indexed="64"/>
      </bottom>
      <diagonal/>
    </border>
    <border>
      <left style="medium">
        <color rgb="FFFF0000"/>
      </left>
      <right style="thin">
        <color auto="1"/>
      </right>
      <top style="medium">
        <color rgb="FFFF0000"/>
      </top>
      <bottom style="medium">
        <color rgb="FFFF0000"/>
      </bottom>
      <diagonal/>
    </border>
    <border>
      <left style="thin">
        <color indexed="64"/>
      </left>
      <right style="thin">
        <color indexed="64"/>
      </right>
      <top style="medium">
        <color rgb="FFFF0000"/>
      </top>
      <bottom style="medium">
        <color rgb="FFFF0000"/>
      </bottom>
      <diagonal/>
    </border>
    <border>
      <left style="thin">
        <color indexed="64"/>
      </left>
      <right/>
      <top style="medium">
        <color rgb="FFFF0000"/>
      </top>
      <bottom style="medium">
        <color rgb="FFFF0000"/>
      </bottom>
      <diagonal/>
    </border>
    <border>
      <left style="medium">
        <color rgb="FFFF0000"/>
      </left>
      <right style="thin">
        <color indexed="64"/>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style="thin">
        <color indexed="64"/>
      </bottom>
      <diagonal/>
    </border>
    <border>
      <left/>
      <right style="medium">
        <color auto="1"/>
      </right>
      <top style="medium">
        <color auto="1"/>
      </top>
      <bottom style="medium">
        <color auto="1"/>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medium">
        <color theme="1"/>
      </left>
      <right/>
      <top/>
      <bottom style="medium">
        <color indexed="64"/>
      </bottom>
      <diagonal/>
    </border>
    <border>
      <left/>
      <right style="medium">
        <color theme="1"/>
      </right>
      <top/>
      <bottom style="medium">
        <color indexed="64"/>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right style="medium">
        <color rgb="FF0070C0"/>
      </right>
      <top style="medium">
        <color rgb="FF0070C0"/>
      </top>
      <bottom style="medium">
        <color rgb="FF0070C0"/>
      </bottom>
      <diagonal/>
    </border>
    <border>
      <left style="dashed">
        <color rgb="FF0070C0"/>
      </left>
      <right style="dashed">
        <color rgb="FF0070C0"/>
      </right>
      <top style="dashed">
        <color rgb="FF0070C0"/>
      </top>
      <bottom style="dashed">
        <color rgb="FF0070C0"/>
      </bottom>
      <diagonal/>
    </border>
    <border>
      <left style="dashed">
        <color auto="1"/>
      </left>
      <right style="dashed">
        <color auto="1"/>
      </right>
      <top style="dashed">
        <color auto="1"/>
      </top>
      <bottom style="dashed">
        <color auto="1"/>
      </bottom>
      <diagonal/>
    </border>
    <border>
      <left style="medium">
        <color rgb="FFFF0000"/>
      </left>
      <right style="thin">
        <color indexed="64"/>
      </right>
      <top style="thin">
        <color indexed="64"/>
      </top>
      <bottom style="medium">
        <color rgb="FFFF0000"/>
      </bottom>
      <diagonal/>
    </border>
    <border>
      <left style="thin">
        <color indexed="64"/>
      </left>
      <right style="medium">
        <color indexed="64"/>
      </right>
      <top style="thin">
        <color indexed="64"/>
      </top>
      <bottom style="medium">
        <color rgb="FFFF0000"/>
      </bottom>
      <diagonal/>
    </border>
    <border>
      <left style="thin">
        <color indexed="64"/>
      </left>
      <right/>
      <top style="medium">
        <color rgb="FFFF0000"/>
      </top>
      <bottom style="medium">
        <color indexed="64"/>
      </bottom>
      <diagonal/>
    </border>
    <border>
      <left/>
      <right/>
      <top style="medium">
        <color rgb="FFFF0000"/>
      </top>
      <bottom style="medium">
        <color indexed="64"/>
      </bottom>
      <diagonal/>
    </border>
    <border>
      <left/>
      <right style="medium">
        <color indexed="64"/>
      </right>
      <top style="medium">
        <color rgb="FFFF0000"/>
      </top>
      <bottom style="medium">
        <color indexed="64"/>
      </bottom>
      <diagonal/>
    </border>
    <border>
      <left style="medium">
        <color rgb="FFFF0000"/>
      </left>
      <right style="thin">
        <color indexed="64"/>
      </right>
      <top style="thin">
        <color indexed="64"/>
      </top>
      <bottom style="medium">
        <color indexed="64"/>
      </bottom>
      <diagonal/>
    </border>
  </borders>
  <cellStyleXfs count="13">
    <xf numFmtId="0" fontId="0" fillId="0" borderId="0"/>
    <xf numFmtId="0" fontId="10"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6" fillId="5" borderId="2" applyNumberFormat="0" applyAlignment="0" applyProtection="0"/>
    <xf numFmtId="0" fontId="7" fillId="5" borderId="1" applyNumberFormat="0" applyAlignment="0" applyProtection="0"/>
    <xf numFmtId="0" fontId="18" fillId="0" borderId="0"/>
    <xf numFmtId="0" fontId="5" fillId="0" borderId="0"/>
    <xf numFmtId="0" fontId="22" fillId="0" borderId="0"/>
    <xf numFmtId="164" fontId="22" fillId="0" borderId="0" applyFont="0" applyFill="0" applyBorder="0" applyAlignment="0" applyProtection="0"/>
    <xf numFmtId="9" fontId="22" fillId="0" borderId="0" applyFont="0" applyFill="0" applyBorder="0" applyAlignment="0" applyProtection="0"/>
    <xf numFmtId="0" fontId="4" fillId="0" borderId="0"/>
    <xf numFmtId="0" fontId="4" fillId="0" borderId="0"/>
  </cellStyleXfs>
  <cellXfs count="945">
    <xf numFmtId="0" fontId="0" fillId="0" borderId="0" xfId="0"/>
    <xf numFmtId="0" fontId="33" fillId="14" borderId="3" xfId="7" applyFont="1" applyFill="1" applyBorder="1" applyAlignment="1">
      <alignment vertical="center" wrapText="1"/>
    </xf>
    <xf numFmtId="14" fontId="34" fillId="14" borderId="4" xfId="7" applyNumberFormat="1" applyFont="1" applyFill="1" applyBorder="1" applyAlignment="1" applyProtection="1">
      <alignment horizontal="left" vertical="center" wrapText="1"/>
      <protection locked="0"/>
    </xf>
    <xf numFmtId="14" fontId="34" fillId="14" borderId="3" xfId="7" applyNumberFormat="1" applyFont="1" applyFill="1" applyBorder="1" applyAlignment="1" applyProtection="1">
      <alignment horizontal="left" vertical="center" wrapText="1"/>
      <protection locked="0"/>
    </xf>
    <xf numFmtId="0" fontId="34" fillId="14" borderId="3" xfId="7" applyFont="1" applyFill="1" applyBorder="1" applyAlignment="1" applyProtection="1">
      <alignment vertical="center" wrapText="1"/>
      <protection locked="0"/>
    </xf>
    <xf numFmtId="0" fontId="34" fillId="14" borderId="3" xfId="7" applyFont="1" applyFill="1" applyBorder="1" applyAlignment="1" applyProtection="1">
      <alignment horizontal="left" vertical="center" wrapText="1"/>
      <protection locked="0"/>
    </xf>
    <xf numFmtId="0" fontId="40" fillId="7" borderId="0" xfId="7" applyFont="1" applyFill="1" applyAlignment="1">
      <alignment wrapText="1"/>
    </xf>
    <xf numFmtId="0" fontId="40" fillId="15" borderId="16" xfId="7" applyFont="1" applyFill="1" applyBorder="1" applyAlignment="1">
      <alignment wrapText="1"/>
    </xf>
    <xf numFmtId="0" fontId="5" fillId="15" borderId="39" xfId="7" applyFill="1" applyBorder="1" applyAlignment="1">
      <alignment horizontal="center" vertical="center" wrapText="1"/>
    </xf>
    <xf numFmtId="0" fontId="40" fillId="7" borderId="32" xfId="7" applyFont="1" applyFill="1" applyBorder="1" applyAlignment="1">
      <alignment wrapText="1"/>
    </xf>
    <xf numFmtId="0" fontId="40" fillId="7" borderId="41" xfId="7" applyFont="1" applyFill="1" applyBorder="1" applyAlignment="1">
      <alignment wrapText="1"/>
    </xf>
    <xf numFmtId="0" fontId="40" fillId="0" borderId="0" xfId="7" applyFont="1" applyAlignment="1">
      <alignment wrapText="1"/>
    </xf>
    <xf numFmtId="0" fontId="45" fillId="7" borderId="4" xfId="7" applyFont="1" applyFill="1" applyBorder="1" applyAlignment="1">
      <alignment horizontal="center" vertical="center" wrapText="1"/>
    </xf>
    <xf numFmtId="0" fontId="5" fillId="7" borderId="0" xfId="7" applyFill="1" applyAlignment="1">
      <alignment horizontal="center" vertical="center" wrapText="1"/>
    </xf>
    <xf numFmtId="0" fontId="5" fillId="7" borderId="5" xfId="7" applyFill="1" applyBorder="1" applyAlignment="1">
      <alignment horizontal="center" vertical="center" wrapText="1"/>
    </xf>
    <xf numFmtId="0" fontId="5" fillId="7" borderId="41" xfId="7" applyFill="1" applyBorder="1" applyAlignment="1">
      <alignment horizontal="center" vertical="center" wrapText="1"/>
    </xf>
    <xf numFmtId="0" fontId="46" fillId="14" borderId="3" xfId="7" applyFont="1" applyFill="1" applyBorder="1" applyAlignment="1">
      <alignment vertical="center" wrapText="1"/>
    </xf>
    <xf numFmtId="14" fontId="47" fillId="7" borderId="41" xfId="7" applyNumberFormat="1" applyFont="1" applyFill="1" applyBorder="1" applyAlignment="1">
      <alignment horizontal="left" wrapText="1"/>
    </xf>
    <xf numFmtId="0" fontId="47" fillId="7" borderId="41" xfId="7" applyFont="1" applyFill="1" applyBorder="1" applyAlignment="1">
      <alignment wrapText="1"/>
    </xf>
    <xf numFmtId="0" fontId="5" fillId="7" borderId="41" xfId="7" applyFill="1" applyBorder="1" applyAlignment="1">
      <alignment vertical="center" wrapText="1"/>
    </xf>
    <xf numFmtId="0" fontId="5" fillId="7" borderId="41" xfId="7" applyFill="1" applyBorder="1" applyAlignment="1">
      <alignment wrapText="1"/>
    </xf>
    <xf numFmtId="0" fontId="31" fillId="0" borderId="51" xfId="7" applyFont="1" applyBorder="1" applyAlignment="1">
      <alignment horizontal="left" vertical="center" wrapText="1" indent="6"/>
    </xf>
    <xf numFmtId="0" fontId="50" fillId="7" borderId="41" xfId="7" applyFont="1" applyFill="1" applyBorder="1" applyAlignment="1">
      <alignment vertical="top" wrapText="1"/>
    </xf>
    <xf numFmtId="0" fontId="51" fillId="7" borderId="41" xfId="7" applyFont="1" applyFill="1" applyBorder="1" applyAlignment="1">
      <alignment vertical="top" wrapText="1"/>
    </xf>
    <xf numFmtId="0" fontId="31" fillId="0" borderId="3" xfId="7" applyFont="1" applyBorder="1" applyAlignment="1">
      <alignment vertical="center" wrapText="1"/>
    </xf>
    <xf numFmtId="14" fontId="34" fillId="0" borderId="56" xfId="7" applyNumberFormat="1" applyFont="1" applyBorder="1" applyAlignment="1" applyProtection="1">
      <alignment horizontal="left" vertical="center" wrapText="1"/>
      <protection locked="0"/>
    </xf>
    <xf numFmtId="14" fontId="47" fillId="7" borderId="41" xfId="7" applyNumberFormat="1" applyFont="1" applyFill="1" applyBorder="1" applyAlignment="1">
      <alignment horizontal="left" vertical="center" wrapText="1"/>
    </xf>
    <xf numFmtId="0" fontId="40" fillId="0" borderId="5" xfId="7" applyFont="1" applyBorder="1" applyAlignment="1">
      <alignment vertical="center" wrapText="1"/>
    </xf>
    <xf numFmtId="0" fontId="36" fillId="0" borderId="55" xfId="6" applyFont="1" applyBorder="1" applyAlignment="1" applyProtection="1">
      <alignment horizontal="center" vertical="center" wrapText="1"/>
      <protection locked="0"/>
    </xf>
    <xf numFmtId="0" fontId="32" fillId="0" borderId="59" xfId="6" applyFont="1" applyBorder="1" applyAlignment="1">
      <alignment horizontal="left" vertical="center" wrapText="1"/>
    </xf>
    <xf numFmtId="3" fontId="33" fillId="0" borderId="60" xfId="7" applyNumberFormat="1" applyFont="1" applyBorder="1" applyAlignment="1">
      <alignment horizontal="center" vertical="center" wrapText="1"/>
    </xf>
    <xf numFmtId="0" fontId="15" fillId="0" borderId="60" xfId="7" applyFont="1" applyBorder="1" applyAlignment="1">
      <alignment horizontal="left" vertical="center" wrapText="1"/>
    </xf>
    <xf numFmtId="3" fontId="46" fillId="0" borderId="60" xfId="7" applyNumberFormat="1" applyFont="1" applyBorder="1" applyAlignment="1">
      <alignment horizontal="center" vertical="center" wrapText="1"/>
    </xf>
    <xf numFmtId="0" fontId="31" fillId="0" borderId="60" xfId="7" applyFont="1" applyBorder="1" applyAlignment="1">
      <alignment horizontal="left" vertical="center" wrapText="1"/>
    </xf>
    <xf numFmtId="0" fontId="46" fillId="0" borderId="61" xfId="7" applyFont="1" applyBorder="1" applyAlignment="1">
      <alignment horizontal="center" vertical="center" wrapText="1"/>
    </xf>
    <xf numFmtId="0" fontId="24" fillId="0" borderId="0" xfId="7" applyFont="1" applyAlignment="1">
      <alignment vertical="top" wrapText="1"/>
    </xf>
    <xf numFmtId="0" fontId="24" fillId="0" borderId="0" xfId="7" applyFont="1" applyAlignment="1">
      <alignment horizontal="center" vertical="center" wrapText="1"/>
    </xf>
    <xf numFmtId="0" fontId="5" fillId="7" borderId="41" xfId="7" applyFill="1" applyBorder="1" applyAlignment="1">
      <alignment horizontal="left" vertical="center" wrapText="1"/>
    </xf>
    <xf numFmtId="0" fontId="5" fillId="7" borderId="32" xfId="7" applyFill="1" applyBorder="1" applyAlignment="1">
      <alignment vertical="center" wrapText="1"/>
    </xf>
    <xf numFmtId="0" fontId="31" fillId="0" borderId="20" xfId="7" applyFont="1" applyBorder="1" applyAlignment="1">
      <alignment vertical="center" wrapText="1"/>
    </xf>
    <xf numFmtId="0" fontId="31" fillId="7" borderId="41" xfId="7" applyFont="1" applyFill="1" applyBorder="1" applyAlignment="1">
      <alignment vertical="center" wrapText="1"/>
    </xf>
    <xf numFmtId="0" fontId="5" fillId="0" borderId="0" xfId="7" applyAlignment="1">
      <alignment vertical="center" wrapText="1"/>
    </xf>
    <xf numFmtId="0" fontId="34" fillId="0" borderId="3" xfId="7" applyFont="1" applyBorder="1" applyAlignment="1" applyProtection="1">
      <alignment vertical="top" wrapText="1"/>
      <protection locked="0"/>
    </xf>
    <xf numFmtId="14" fontId="34" fillId="0" borderId="20" xfId="7" applyNumberFormat="1" applyFont="1" applyBorder="1" applyAlignment="1" applyProtection="1">
      <alignment horizontal="left" vertical="top" wrapText="1"/>
      <protection locked="0"/>
    </xf>
    <xf numFmtId="14" fontId="47" fillId="7" borderId="41" xfId="7" applyNumberFormat="1" applyFont="1" applyFill="1" applyBorder="1" applyAlignment="1">
      <alignment horizontal="left" vertical="top" wrapText="1"/>
    </xf>
    <xf numFmtId="0" fontId="34" fillId="0" borderId="44" xfId="7" applyFont="1" applyBorder="1" applyAlignment="1" applyProtection="1">
      <alignment vertical="top" wrapText="1"/>
      <protection locked="0"/>
    </xf>
    <xf numFmtId="14" fontId="34" fillId="0" borderId="15" xfId="7" applyNumberFormat="1" applyFont="1" applyBorder="1" applyAlignment="1" applyProtection="1">
      <alignment horizontal="left" vertical="top" wrapText="1"/>
      <protection locked="0"/>
    </xf>
    <xf numFmtId="0" fontId="15" fillId="0" borderId="26" xfId="7" applyFont="1" applyBorder="1" applyAlignment="1">
      <alignment horizontal="left" vertical="center" wrapText="1"/>
    </xf>
    <xf numFmtId="3" fontId="34" fillId="7" borderId="10" xfId="7" applyNumberFormat="1" applyFont="1" applyFill="1" applyBorder="1" applyAlignment="1">
      <alignment horizontal="left" vertical="center" wrapText="1"/>
    </xf>
    <xf numFmtId="0" fontId="15" fillId="0" borderId="3" xfId="7" applyFont="1" applyBorder="1" applyAlignment="1">
      <alignment horizontal="left" vertical="center" wrapText="1"/>
    </xf>
    <xf numFmtId="3" fontId="34" fillId="0" borderId="3" xfId="7" applyNumberFormat="1" applyFont="1" applyBorder="1" applyAlignment="1">
      <alignment horizontal="left" vertical="center" wrapText="1"/>
    </xf>
    <xf numFmtId="14" fontId="34" fillId="16" borderId="20" xfId="7" applyNumberFormat="1" applyFont="1" applyFill="1" applyBorder="1" applyAlignment="1" applyProtection="1">
      <alignment horizontal="left" vertical="center" wrapText="1"/>
      <protection locked="0"/>
    </xf>
    <xf numFmtId="0" fontId="47" fillId="7" borderId="41" xfId="7" applyFont="1" applyFill="1" applyBorder="1" applyAlignment="1">
      <alignment vertical="center" wrapText="1"/>
    </xf>
    <xf numFmtId="0" fontId="15" fillId="0" borderId="70" xfId="7" applyFont="1" applyBorder="1" applyAlignment="1">
      <alignment horizontal="left" vertical="center" wrapText="1"/>
    </xf>
    <xf numFmtId="3" fontId="54" fillId="16" borderId="71" xfId="7" applyNumberFormat="1" applyFont="1" applyFill="1" applyBorder="1" applyAlignment="1" applyProtection="1">
      <alignment horizontal="left" vertical="center" wrapText="1"/>
      <protection locked="0"/>
    </xf>
    <xf numFmtId="0" fontId="15" fillId="0" borderId="72" xfId="7" applyFont="1" applyBorder="1" applyAlignment="1">
      <alignment horizontal="left" vertical="center" wrapText="1"/>
    </xf>
    <xf numFmtId="3" fontId="34" fillId="16" borderId="73" xfId="7" applyNumberFormat="1" applyFont="1" applyFill="1" applyBorder="1" applyAlignment="1" applyProtection="1">
      <alignment horizontal="left" vertical="center" wrapText="1"/>
      <protection locked="0"/>
    </xf>
    <xf numFmtId="0" fontId="15" fillId="0" borderId="44" xfId="7" applyFont="1" applyBorder="1" applyAlignment="1">
      <alignment horizontal="left" vertical="center" wrapText="1"/>
    </xf>
    <xf numFmtId="14" fontId="34" fillId="16" borderId="44" xfId="7" applyNumberFormat="1" applyFont="1" applyFill="1" applyBorder="1" applyAlignment="1" applyProtection="1">
      <alignment horizontal="left" vertical="center" wrapText="1"/>
      <protection locked="0"/>
    </xf>
    <xf numFmtId="0" fontId="50" fillId="7" borderId="0" xfId="7" applyFont="1" applyFill="1" applyAlignment="1">
      <alignment horizontal="right" wrapText="1"/>
    </xf>
    <xf numFmtId="0" fontId="5" fillId="0" borderId="0" xfId="7" applyAlignment="1">
      <alignment wrapText="1"/>
    </xf>
    <xf numFmtId="0" fontId="50" fillId="7" borderId="35" xfId="7" applyFont="1" applyFill="1" applyBorder="1" applyAlignment="1">
      <alignment horizontal="right" wrapText="1"/>
    </xf>
    <xf numFmtId="0" fontId="5" fillId="0" borderId="35" xfId="7" applyBorder="1" applyAlignment="1">
      <alignment wrapText="1"/>
    </xf>
    <xf numFmtId="0" fontId="40" fillId="7" borderId="75" xfId="7" applyFont="1" applyFill="1" applyBorder="1" applyAlignment="1">
      <alignment wrapText="1"/>
    </xf>
    <xf numFmtId="0" fontId="40" fillId="0" borderId="32" xfId="7" applyFont="1" applyBorder="1" applyAlignment="1">
      <alignment wrapText="1"/>
    </xf>
    <xf numFmtId="0" fontId="55" fillId="0" borderId="0" xfId="7" applyFont="1" applyAlignment="1">
      <alignment wrapText="1"/>
    </xf>
    <xf numFmtId="0" fontId="55" fillId="7" borderId="32" xfId="7" applyFont="1" applyFill="1" applyBorder="1" applyAlignment="1">
      <alignment wrapText="1"/>
    </xf>
    <xf numFmtId="0" fontId="55" fillId="7" borderId="41" xfId="7" applyFont="1" applyFill="1" applyBorder="1" applyAlignment="1">
      <alignment horizontal="left" vertical="center" wrapText="1"/>
    </xf>
    <xf numFmtId="0" fontId="29" fillId="0" borderId="26" xfId="7" applyFont="1" applyBorder="1" applyAlignment="1">
      <alignment horizontal="left" vertical="center" wrapText="1"/>
    </xf>
    <xf numFmtId="9" fontId="34" fillId="16" borderId="3" xfId="7" applyNumberFormat="1" applyFont="1" applyFill="1" applyBorder="1" applyAlignment="1" applyProtection="1">
      <alignment horizontal="left" vertical="center" wrapText="1"/>
      <protection locked="0"/>
    </xf>
    <xf numFmtId="0" fontId="29" fillId="0" borderId="3" xfId="7" applyFont="1" applyBorder="1" applyAlignment="1">
      <alignment horizontal="left" vertical="center" wrapText="1"/>
    </xf>
    <xf numFmtId="9" fontId="34" fillId="16" borderId="20" xfId="7" applyNumberFormat="1" applyFont="1" applyFill="1" applyBorder="1" applyAlignment="1" applyProtection="1">
      <alignment horizontal="left" vertical="center" wrapText="1"/>
      <protection locked="0"/>
    </xf>
    <xf numFmtId="0" fontId="47" fillId="7" borderId="41" xfId="7" applyFont="1" applyFill="1" applyBorder="1" applyAlignment="1">
      <alignment vertical="top" wrapText="1"/>
    </xf>
    <xf numFmtId="0" fontId="29" fillId="0" borderId="25" xfId="7" applyFont="1" applyBorder="1" applyAlignment="1">
      <alignment vertical="center" wrapText="1"/>
    </xf>
    <xf numFmtId="0" fontId="34" fillId="16" borderId="3" xfId="7" applyFont="1" applyFill="1" applyBorder="1" applyAlignment="1" applyProtection="1">
      <alignment horizontal="left" vertical="center" wrapText="1"/>
      <protection locked="0"/>
    </xf>
    <xf numFmtId="0" fontId="29" fillId="0" borderId="5" xfId="7" applyFont="1" applyBorder="1" applyAlignment="1">
      <alignment horizontal="left" vertical="center" wrapText="1"/>
    </xf>
    <xf numFmtId="0" fontId="58" fillId="0" borderId="20" xfId="7" applyFont="1" applyBorder="1" applyAlignment="1" applyProtection="1">
      <alignment horizontal="center" vertical="center" wrapText="1"/>
      <protection locked="0"/>
    </xf>
    <xf numFmtId="0" fontId="29" fillId="0" borderId="22" xfId="7" applyFont="1" applyBorder="1" applyAlignment="1">
      <alignment vertical="center" wrapText="1"/>
    </xf>
    <xf numFmtId="167" fontId="34" fillId="16" borderId="11" xfId="7" applyNumberFormat="1" applyFont="1" applyFill="1" applyBorder="1" applyAlignment="1" applyProtection="1">
      <alignment horizontal="left" vertical="center" wrapText="1"/>
      <protection locked="0"/>
    </xf>
    <xf numFmtId="3" fontId="29" fillId="0" borderId="3" xfId="7" applyNumberFormat="1" applyFont="1" applyBorder="1" applyAlignment="1">
      <alignment horizontal="left" vertical="center" wrapText="1"/>
    </xf>
    <xf numFmtId="0" fontId="29" fillId="0" borderId="26" xfId="7" applyFont="1" applyBorder="1" applyAlignment="1">
      <alignment vertical="center" wrapText="1"/>
    </xf>
    <xf numFmtId="0" fontId="34" fillId="16" borderId="10" xfId="7" applyFont="1" applyFill="1" applyBorder="1" applyAlignment="1" applyProtection="1">
      <alignment horizontal="left" vertical="center" wrapText="1"/>
      <protection locked="0"/>
    </xf>
    <xf numFmtId="0" fontId="29" fillId="0" borderId="10" xfId="7" applyFont="1" applyBorder="1" applyAlignment="1">
      <alignment horizontal="left" vertical="center" wrapText="1"/>
    </xf>
    <xf numFmtId="0" fontId="29" fillId="0" borderId="70" xfId="7" applyFont="1" applyBorder="1" applyAlignment="1">
      <alignment vertical="center" wrapText="1"/>
    </xf>
    <xf numFmtId="3" fontId="53" fillId="0" borderId="78" xfId="7" applyNumberFormat="1" applyFont="1" applyBorder="1" applyAlignment="1">
      <alignment horizontal="left" vertical="center"/>
    </xf>
    <xf numFmtId="0" fontId="29" fillId="0" borderId="78" xfId="7" applyFont="1" applyBorder="1" applyAlignment="1">
      <alignment horizontal="left" vertical="center" wrapText="1"/>
    </xf>
    <xf numFmtId="3" fontId="53" fillId="0" borderId="79" xfId="7" applyNumberFormat="1" applyFont="1" applyBorder="1" applyAlignment="1">
      <alignment horizontal="left" vertical="center"/>
    </xf>
    <xf numFmtId="0" fontId="29" fillId="0" borderId="80" xfId="7" applyFont="1" applyBorder="1" applyAlignment="1">
      <alignment horizontal="left" vertical="center" wrapText="1"/>
    </xf>
    <xf numFmtId="14" fontId="34" fillId="16" borderId="23" xfId="7" applyNumberFormat="1" applyFont="1" applyFill="1" applyBorder="1" applyAlignment="1" applyProtection="1">
      <alignment horizontal="left" vertical="center" wrapText="1"/>
      <protection locked="0"/>
    </xf>
    <xf numFmtId="0" fontId="29" fillId="0" borderId="72" xfId="7" applyFont="1" applyBorder="1" applyAlignment="1">
      <alignment vertical="center" wrapText="1"/>
    </xf>
    <xf numFmtId="0" fontId="29" fillId="0" borderId="82" xfId="7" applyFont="1" applyBorder="1" applyAlignment="1">
      <alignment vertical="center" wrapText="1"/>
    </xf>
    <xf numFmtId="0" fontId="29" fillId="0" borderId="3" xfId="7" applyFont="1" applyBorder="1" applyAlignment="1">
      <alignment vertical="center" wrapText="1"/>
    </xf>
    <xf numFmtId="3" fontId="34" fillId="16" borderId="20" xfId="7" applyNumberFormat="1" applyFont="1" applyFill="1" applyBorder="1" applyAlignment="1" applyProtection="1">
      <alignment horizontal="left" vertical="center" wrapText="1"/>
      <protection locked="0"/>
    </xf>
    <xf numFmtId="0" fontId="34" fillId="7" borderId="41" xfId="7" applyFont="1" applyFill="1" applyBorder="1" applyAlignment="1">
      <alignment wrapText="1"/>
    </xf>
    <xf numFmtId="0" fontId="34" fillId="16" borderId="20" xfId="7" applyFont="1" applyFill="1" applyBorder="1" applyAlignment="1" applyProtection="1">
      <alignment horizontal="left" vertical="center" wrapText="1"/>
      <protection locked="0"/>
    </xf>
    <xf numFmtId="0" fontId="29" fillId="0" borderId="14" xfId="7" applyFont="1" applyBorder="1" applyAlignment="1">
      <alignment vertical="center" wrapText="1"/>
    </xf>
    <xf numFmtId="0" fontId="34" fillId="0" borderId="44" xfId="7" applyFont="1" applyBorder="1" applyAlignment="1">
      <alignment horizontal="left" vertical="center" wrapText="1"/>
    </xf>
    <xf numFmtId="0" fontId="29" fillId="0" borderId="44" xfId="7" applyFont="1" applyBorder="1" applyAlignment="1">
      <alignment vertical="center" wrapText="1"/>
    </xf>
    <xf numFmtId="9" fontId="34" fillId="0" borderId="44" xfId="7" applyNumberFormat="1" applyFont="1" applyBorder="1" applyAlignment="1">
      <alignment horizontal="left" vertical="center" wrapText="1"/>
    </xf>
    <xf numFmtId="10" fontId="34" fillId="0" borderId="15" xfId="7" applyNumberFormat="1" applyFont="1" applyBorder="1" applyAlignment="1">
      <alignment horizontal="left" vertical="center" wrapText="1"/>
    </xf>
    <xf numFmtId="0" fontId="49" fillId="0" borderId="69" xfId="7" applyFont="1" applyBorder="1" applyAlignment="1">
      <alignment vertical="center" wrapText="1"/>
    </xf>
    <xf numFmtId="0" fontId="34" fillId="0" borderId="69" xfId="7" applyFont="1" applyBorder="1" applyAlignment="1">
      <alignment horizontal="left" vertical="center" wrapText="1"/>
    </xf>
    <xf numFmtId="9" fontId="34" fillId="0" borderId="69" xfId="7" applyNumberFormat="1" applyFont="1" applyBorder="1" applyAlignment="1">
      <alignment horizontal="left" vertical="center" wrapText="1"/>
    </xf>
    <xf numFmtId="10" fontId="34" fillId="0" borderId="69" xfId="7" applyNumberFormat="1" applyFont="1" applyBorder="1" applyAlignment="1">
      <alignment horizontal="left" vertical="center" wrapText="1"/>
    </xf>
    <xf numFmtId="0" fontId="5" fillId="7" borderId="41" xfId="7" applyFill="1" applyBorder="1" applyAlignment="1">
      <alignment vertical="top" wrapText="1"/>
    </xf>
    <xf numFmtId="0" fontId="49" fillId="0" borderId="67" xfId="7" applyFont="1" applyBorder="1" applyAlignment="1">
      <alignment vertical="center" wrapText="1"/>
    </xf>
    <xf numFmtId="0" fontId="34" fillId="0" borderId="81" xfId="7" applyFont="1" applyBorder="1" applyAlignment="1">
      <alignment horizontal="left" vertical="center" wrapText="1"/>
    </xf>
    <xf numFmtId="0" fontId="49" fillId="0" borderId="81" xfId="7" applyFont="1" applyBorder="1" applyAlignment="1">
      <alignment vertical="center" wrapText="1"/>
    </xf>
    <xf numFmtId="9" fontId="34" fillId="0" borderId="81" xfId="7" applyNumberFormat="1" applyFont="1" applyBorder="1" applyAlignment="1">
      <alignment horizontal="left" vertical="center" wrapText="1"/>
    </xf>
    <xf numFmtId="10" fontId="34" fillId="0" borderId="36" xfId="7" applyNumberFormat="1" applyFont="1" applyBorder="1" applyAlignment="1">
      <alignment horizontal="left" vertical="center" wrapText="1"/>
    </xf>
    <xf numFmtId="0" fontId="31" fillId="16" borderId="12" xfId="7" applyFont="1" applyFill="1" applyBorder="1" applyAlignment="1">
      <alignment horizontal="left" vertical="center"/>
    </xf>
    <xf numFmtId="0" fontId="5" fillId="16" borderId="65" xfId="7" applyFill="1" applyBorder="1" applyAlignment="1">
      <alignment horizontal="left" vertical="center"/>
    </xf>
    <xf numFmtId="0" fontId="49" fillId="16" borderId="65" xfId="7" applyFont="1" applyFill="1" applyBorder="1" applyAlignment="1">
      <alignment horizontal="right" vertical="center"/>
    </xf>
    <xf numFmtId="0" fontId="33" fillId="16" borderId="13" xfId="7" applyFont="1" applyFill="1" applyBorder="1" applyAlignment="1" applyProtection="1">
      <alignment horizontal="center" vertical="center"/>
      <protection locked="0"/>
    </xf>
    <xf numFmtId="0" fontId="49" fillId="0" borderId="83" xfId="7" applyFont="1" applyBorder="1" applyAlignment="1">
      <alignment vertical="center" wrapText="1"/>
    </xf>
    <xf numFmtId="0" fontId="47" fillId="0" borderId="9" xfId="7" applyFont="1" applyBorder="1" applyAlignment="1">
      <alignment horizontal="left" vertical="center" wrapText="1"/>
    </xf>
    <xf numFmtId="0" fontId="49" fillId="0" borderId="9" xfId="7" applyFont="1" applyBorder="1" applyAlignment="1">
      <alignment vertical="center" wrapText="1"/>
    </xf>
    <xf numFmtId="9" fontId="47" fillId="0" borderId="9" xfId="7" applyNumberFormat="1" applyFont="1" applyBorder="1" applyAlignment="1">
      <alignment horizontal="left" vertical="center" wrapText="1"/>
    </xf>
    <xf numFmtId="10" fontId="47" fillId="0" borderId="42" xfId="7" applyNumberFormat="1" applyFont="1" applyBorder="1" applyAlignment="1">
      <alignment horizontal="left" vertical="center" wrapText="1"/>
    </xf>
    <xf numFmtId="0" fontId="49" fillId="0" borderId="25" xfId="7" applyFont="1" applyBorder="1" applyAlignment="1">
      <alignment vertical="center" wrapText="1"/>
    </xf>
    <xf numFmtId="0" fontId="47" fillId="16" borderId="3" xfId="7" applyFont="1" applyFill="1" applyBorder="1" applyAlignment="1">
      <alignment horizontal="left" vertical="center" wrapText="1"/>
    </xf>
    <xf numFmtId="0" fontId="49" fillId="0" borderId="3" xfId="7" applyFont="1" applyBorder="1" applyAlignment="1">
      <alignment vertical="center" wrapText="1"/>
    </xf>
    <xf numFmtId="3" fontId="53" fillId="0" borderId="3" xfId="7" applyNumberFormat="1" applyFont="1" applyBorder="1" applyAlignment="1">
      <alignment horizontal="left" vertical="center" wrapText="1"/>
    </xf>
    <xf numFmtId="0" fontId="29" fillId="7" borderId="84" xfId="7" applyFont="1" applyFill="1" applyBorder="1" applyAlignment="1">
      <alignment vertical="center" wrapText="1"/>
    </xf>
    <xf numFmtId="3" fontId="53" fillId="0" borderId="85" xfId="7" applyNumberFormat="1" applyFont="1" applyBorder="1" applyAlignment="1">
      <alignment horizontal="left" vertical="center" wrapText="1"/>
    </xf>
    <xf numFmtId="0" fontId="29" fillId="7" borderId="85" xfId="7" applyFont="1" applyFill="1" applyBorder="1" applyAlignment="1">
      <alignment vertical="center" wrapText="1"/>
    </xf>
    <xf numFmtId="3" fontId="53" fillId="0" borderId="86" xfId="7" applyNumberFormat="1" applyFont="1" applyBorder="1" applyAlignment="1">
      <alignment horizontal="left" vertical="center" wrapText="1"/>
    </xf>
    <xf numFmtId="0" fontId="15" fillId="0" borderId="87" xfId="7" applyFont="1" applyBorder="1" applyAlignment="1">
      <alignment horizontal="left" vertical="center" wrapText="1"/>
    </xf>
    <xf numFmtId="3" fontId="54" fillId="0" borderId="4" xfId="7" applyNumberFormat="1" applyFont="1" applyBorder="1" applyAlignment="1">
      <alignment horizontal="left" vertical="center" wrapText="1"/>
    </xf>
    <xf numFmtId="0" fontId="34" fillId="7" borderId="88" xfId="7" applyFont="1" applyFill="1" applyBorder="1" applyAlignment="1">
      <alignment wrapText="1"/>
    </xf>
    <xf numFmtId="0" fontId="29" fillId="0" borderId="25" xfId="7" applyFont="1" applyBorder="1" applyAlignment="1">
      <alignment horizontal="center" vertical="center" wrapText="1"/>
    </xf>
    <xf numFmtId="0" fontId="62" fillId="0" borderId="5" xfId="7" applyFont="1" applyBorder="1" applyAlignment="1" applyProtection="1">
      <alignment horizontal="center" vertical="center" wrapText="1"/>
      <protection locked="0"/>
    </xf>
    <xf numFmtId="0" fontId="49" fillId="0" borderId="11" xfId="7" applyFont="1" applyBorder="1" applyAlignment="1">
      <alignment vertical="center" wrapText="1"/>
    </xf>
    <xf numFmtId="0" fontId="62" fillId="0" borderId="11" xfId="7" applyFont="1" applyBorder="1" applyAlignment="1" applyProtection="1">
      <alignment horizontal="center" vertical="center" wrapText="1"/>
      <protection locked="0"/>
    </xf>
    <xf numFmtId="0" fontId="62" fillId="0" borderId="89" xfId="7" applyFont="1" applyBorder="1" applyAlignment="1" applyProtection="1">
      <alignment horizontal="center" vertical="center" wrapText="1"/>
      <protection locked="0"/>
    </xf>
    <xf numFmtId="0" fontId="40" fillId="7" borderId="34" xfId="7" applyFont="1" applyFill="1" applyBorder="1" applyAlignment="1">
      <alignment wrapText="1"/>
    </xf>
    <xf numFmtId="0" fontId="34" fillId="7" borderId="75" xfId="7" applyFont="1" applyFill="1" applyBorder="1" applyAlignment="1">
      <alignment wrapText="1"/>
    </xf>
    <xf numFmtId="0" fontId="49" fillId="0" borderId="0" xfId="7" applyFont="1" applyAlignment="1">
      <alignment vertical="center" wrapText="1"/>
    </xf>
    <xf numFmtId="14" fontId="47" fillId="0" borderId="0" xfId="7" applyNumberFormat="1" applyFont="1" applyAlignment="1">
      <alignment horizontal="left" vertical="center" wrapText="1"/>
    </xf>
    <xf numFmtId="0" fontId="49" fillId="0" borderId="0" xfId="7" applyFont="1" applyAlignment="1">
      <alignment vertical="top" wrapText="1"/>
    </xf>
    <xf numFmtId="0" fontId="47" fillId="0" borderId="0" xfId="7" applyFont="1" applyAlignment="1">
      <alignment vertical="top" wrapText="1"/>
    </xf>
    <xf numFmtId="0" fontId="40" fillId="7" borderId="0" xfId="7" applyFont="1" applyFill="1" applyAlignment="1">
      <alignment vertical="top" wrapText="1"/>
    </xf>
    <xf numFmtId="0" fontId="40" fillId="0" borderId="0" xfId="7" applyFont="1" applyAlignment="1">
      <alignment vertical="top" wrapText="1"/>
    </xf>
    <xf numFmtId="0" fontId="5" fillId="7" borderId="0" xfId="7" applyFill="1" applyAlignment="1">
      <alignment vertical="top" wrapText="1"/>
    </xf>
    <xf numFmtId="0" fontId="34" fillId="0" borderId="3" xfId="7" applyFont="1" applyBorder="1" applyAlignment="1" applyProtection="1">
      <alignment horizontal="left" vertical="center" wrapText="1"/>
      <protection locked="0"/>
    </xf>
    <xf numFmtId="14" fontId="34" fillId="0" borderId="3" xfId="7" applyNumberFormat="1" applyFont="1" applyBorder="1" applyAlignment="1" applyProtection="1">
      <alignment horizontal="left" vertical="center" wrapText="1"/>
      <protection locked="0"/>
    </xf>
    <xf numFmtId="0" fontId="58" fillId="0" borderId="3" xfId="7" applyFont="1" applyBorder="1" applyAlignment="1" applyProtection="1">
      <alignment horizontal="center" vertical="center" wrapText="1"/>
      <protection locked="0"/>
    </xf>
    <xf numFmtId="14" fontId="34" fillId="0" borderId="44" xfId="7" applyNumberFormat="1" applyFont="1" applyBorder="1" applyAlignment="1" applyProtection="1">
      <alignment horizontal="left" vertical="center" wrapText="1"/>
      <protection locked="0"/>
    </xf>
    <xf numFmtId="0" fontId="8" fillId="7" borderId="0" xfId="7" applyFont="1" applyFill="1" applyAlignment="1">
      <alignment wrapText="1"/>
    </xf>
    <xf numFmtId="0" fontId="8" fillId="7" borderId="32" xfId="7" applyFont="1" applyFill="1" applyBorder="1" applyAlignment="1">
      <alignment wrapText="1"/>
    </xf>
    <xf numFmtId="0" fontId="8" fillId="7" borderId="41" xfId="7" applyFont="1" applyFill="1" applyBorder="1" applyAlignment="1">
      <alignment wrapText="1"/>
    </xf>
    <xf numFmtId="0" fontId="8" fillId="0" borderId="0" xfId="7" applyFont="1" applyAlignment="1">
      <alignment wrapText="1"/>
    </xf>
    <xf numFmtId="0" fontId="48" fillId="14" borderId="65" xfId="7" applyFont="1" applyFill="1" applyBorder="1" applyAlignment="1">
      <alignment horizontal="left" vertical="center" wrapText="1"/>
    </xf>
    <xf numFmtId="0" fontId="48" fillId="14" borderId="13" xfId="7" applyFont="1" applyFill="1" applyBorder="1" applyAlignment="1">
      <alignment horizontal="left" vertical="center" wrapText="1"/>
    </xf>
    <xf numFmtId="0" fontId="40" fillId="7" borderId="66" xfId="7" applyFont="1" applyFill="1" applyBorder="1" applyAlignment="1">
      <alignment wrapText="1"/>
    </xf>
    <xf numFmtId="0" fontId="40" fillId="7" borderId="6" xfId="7" applyFont="1" applyFill="1" applyBorder="1" applyAlignment="1">
      <alignment wrapText="1"/>
    </xf>
    <xf numFmtId="0" fontId="40" fillId="7" borderId="33" xfId="7" applyFont="1" applyFill="1" applyBorder="1" applyAlignment="1">
      <alignment wrapText="1"/>
    </xf>
    <xf numFmtId="0" fontId="40" fillId="7" borderId="66" xfId="7" applyFont="1" applyFill="1" applyBorder="1" applyAlignment="1" applyProtection="1">
      <alignment horizontal="center" vertical="center" wrapText="1"/>
      <protection locked="0"/>
    </xf>
    <xf numFmtId="0" fontId="40" fillId="0" borderId="4" xfId="7" applyFont="1" applyBorder="1" applyAlignment="1" applyProtection="1">
      <alignment horizontal="center" vertical="center" wrapText="1"/>
      <protection locked="0"/>
    </xf>
    <xf numFmtId="0" fontId="31" fillId="7" borderId="3" xfId="7" applyFont="1" applyFill="1" applyBorder="1" applyAlignment="1">
      <alignment vertical="center" wrapText="1"/>
    </xf>
    <xf numFmtId="14" fontId="34" fillId="7" borderId="20" xfId="7" applyNumberFormat="1" applyFont="1" applyFill="1" applyBorder="1" applyAlignment="1" applyProtection="1">
      <alignment horizontal="center" vertical="center" wrapText="1"/>
      <protection locked="0"/>
    </xf>
    <xf numFmtId="0" fontId="64" fillId="7" borderId="0" xfId="7" applyFont="1" applyFill="1" applyAlignment="1">
      <alignment wrapText="1"/>
    </xf>
    <xf numFmtId="0" fontId="40" fillId="0" borderId="0" xfId="7" applyFont="1" applyAlignment="1">
      <alignment horizontal="left" vertical="top" wrapText="1"/>
    </xf>
    <xf numFmtId="0" fontId="31" fillId="0" borderId="25" xfId="7" applyFont="1" applyBorder="1" applyAlignment="1">
      <alignment vertical="center" wrapText="1"/>
    </xf>
    <xf numFmtId="0" fontId="31" fillId="0" borderId="69" xfId="7" applyFont="1" applyBorder="1" applyAlignment="1">
      <alignment vertical="center" wrapText="1"/>
    </xf>
    <xf numFmtId="14" fontId="34" fillId="0" borderId="69" xfId="7" applyNumberFormat="1" applyFont="1" applyBorder="1" applyAlignment="1">
      <alignment horizontal="left" vertical="center" wrapText="1"/>
    </xf>
    <xf numFmtId="0" fontId="5" fillId="0" borderId="0" xfId="7" applyAlignment="1">
      <alignment vertical="top" wrapText="1"/>
    </xf>
    <xf numFmtId="0" fontId="34" fillId="0" borderId="0" xfId="7" applyFont="1" applyAlignment="1">
      <alignment wrapText="1"/>
    </xf>
    <xf numFmtId="0" fontId="34" fillId="0" borderId="25" xfId="7" applyFont="1" applyBorder="1" applyAlignment="1" applyProtection="1">
      <alignment vertical="center" wrapText="1"/>
      <protection locked="0"/>
    </xf>
    <xf numFmtId="0" fontId="34" fillId="0" borderId="72" xfId="7" applyFont="1" applyBorder="1" applyAlignment="1" applyProtection="1">
      <alignment vertical="center" wrapText="1"/>
      <protection locked="0"/>
    </xf>
    <xf numFmtId="0" fontId="31" fillId="0" borderId="25" xfId="7" applyFont="1" applyBorder="1" applyAlignment="1">
      <alignment wrapText="1"/>
    </xf>
    <xf numFmtId="0" fontId="31" fillId="0" borderId="3" xfId="7" applyFont="1" applyBorder="1" applyAlignment="1">
      <alignment wrapText="1"/>
    </xf>
    <xf numFmtId="0" fontId="31" fillId="0" borderId="20" xfId="7" applyFont="1" applyBorder="1" applyAlignment="1">
      <alignment wrapText="1"/>
    </xf>
    <xf numFmtId="0" fontId="31" fillId="0" borderId="5" xfId="7" applyFont="1" applyBorder="1" applyAlignment="1">
      <alignment wrapText="1"/>
    </xf>
    <xf numFmtId="0" fontId="34" fillId="0" borderId="25" xfId="7" applyFont="1" applyBorder="1" applyAlignment="1" applyProtection="1">
      <alignment wrapText="1"/>
      <protection locked="0"/>
    </xf>
    <xf numFmtId="0" fontId="34" fillId="0" borderId="3" xfId="7" applyFont="1" applyBorder="1" applyAlignment="1" applyProtection="1">
      <alignment wrapText="1"/>
      <protection locked="0"/>
    </xf>
    <xf numFmtId="0" fontId="34" fillId="0" borderId="20" xfId="7" applyFont="1" applyBorder="1" applyAlignment="1" applyProtection="1">
      <alignment wrapText="1"/>
      <protection locked="0"/>
    </xf>
    <xf numFmtId="0" fontId="34" fillId="0" borderId="5" xfId="7" applyFont="1" applyBorder="1" applyAlignment="1" applyProtection="1">
      <alignment wrapText="1"/>
      <protection locked="0"/>
    </xf>
    <xf numFmtId="0" fontId="34" fillId="0" borderId="3" xfId="7" applyFont="1" applyBorder="1" applyAlignment="1" applyProtection="1">
      <alignment horizontal="center" wrapText="1"/>
      <protection locked="0"/>
    </xf>
    <xf numFmtId="0" fontId="34" fillId="0" borderId="20" xfId="7" applyFont="1" applyBorder="1" applyAlignment="1" applyProtection="1">
      <alignment horizontal="center" wrapText="1"/>
      <protection locked="0"/>
    </xf>
    <xf numFmtId="0" fontId="34" fillId="0" borderId="14" xfId="7" applyFont="1" applyBorder="1" applyAlignment="1" applyProtection="1">
      <alignment wrapText="1"/>
      <protection locked="0"/>
    </xf>
    <xf numFmtId="0" fontId="34" fillId="0" borderId="44" xfId="7" applyFont="1" applyBorder="1" applyAlignment="1" applyProtection="1">
      <alignment wrapText="1"/>
      <protection locked="0"/>
    </xf>
    <xf numFmtId="0" fontId="34" fillId="0" borderId="15" xfId="7" applyFont="1" applyBorder="1" applyAlignment="1" applyProtection="1">
      <alignment wrapText="1"/>
      <protection locked="0"/>
    </xf>
    <xf numFmtId="0" fontId="34" fillId="0" borderId="43" xfId="7" applyFont="1" applyBorder="1" applyAlignment="1" applyProtection="1">
      <alignment wrapText="1"/>
      <protection locked="0"/>
    </xf>
    <xf numFmtId="0" fontId="34" fillId="0" borderId="44" xfId="7" applyFont="1" applyBorder="1" applyAlignment="1" applyProtection="1">
      <alignment horizontal="center" wrapText="1"/>
      <protection locked="0"/>
    </xf>
    <xf numFmtId="0" fontId="34" fillId="0" borderId="15" xfId="7" applyFont="1" applyBorder="1" applyAlignment="1" applyProtection="1">
      <alignment horizontal="center" wrapText="1"/>
      <protection locked="0"/>
    </xf>
    <xf numFmtId="0" fontId="47" fillId="0" borderId="0" xfId="7" applyFont="1" applyAlignment="1">
      <alignment wrapText="1"/>
    </xf>
    <xf numFmtId="0" fontId="47" fillId="0" borderId="0" xfId="7" applyFont="1" applyAlignment="1">
      <alignment horizontal="center" wrapText="1"/>
    </xf>
    <xf numFmtId="0" fontId="49" fillId="7" borderId="41" xfId="7" applyFont="1" applyFill="1" applyBorder="1" applyAlignment="1">
      <alignment wrapText="1"/>
    </xf>
    <xf numFmtId="0" fontId="40" fillId="7" borderId="41" xfId="7" applyFont="1" applyFill="1" applyBorder="1"/>
    <xf numFmtId="0" fontId="40" fillId="0" borderId="9" xfId="7" applyFont="1" applyBorder="1" applyAlignment="1" applyProtection="1">
      <alignment vertical="top" wrapText="1"/>
      <protection locked="0"/>
    </xf>
    <xf numFmtId="0" fontId="5" fillId="0" borderId="3" xfId="7" applyBorder="1" applyAlignment="1" applyProtection="1">
      <alignment wrapText="1"/>
      <protection locked="0"/>
    </xf>
    <xf numFmtId="0" fontId="47" fillId="7" borderId="75" xfId="7" applyFont="1" applyFill="1" applyBorder="1" applyAlignment="1">
      <alignment vertical="top" wrapText="1"/>
    </xf>
    <xf numFmtId="0" fontId="40" fillId="0" borderId="0" xfId="7" applyFont="1" applyAlignment="1" applyProtection="1">
      <alignment wrapText="1"/>
      <protection locked="0" hidden="1"/>
    </xf>
    <xf numFmtId="0" fontId="40" fillId="7" borderId="0" xfId="7" applyFont="1" applyFill="1" applyAlignment="1" applyProtection="1">
      <alignment wrapText="1"/>
      <protection locked="0" hidden="1"/>
    </xf>
    <xf numFmtId="0" fontId="48" fillId="17" borderId="4" xfId="7" applyFont="1" applyFill="1" applyBorder="1" applyAlignment="1" applyProtection="1">
      <alignment horizontal="center" vertical="center" wrapText="1"/>
      <protection locked="0"/>
    </xf>
    <xf numFmtId="0" fontId="48" fillId="17" borderId="6" xfId="7" applyFont="1" applyFill="1" applyBorder="1" applyAlignment="1" applyProtection="1">
      <alignment horizontal="center" vertical="center" wrapText="1"/>
      <protection locked="0"/>
    </xf>
    <xf numFmtId="0" fontId="29" fillId="0" borderId="60" xfId="7" applyFont="1" applyBorder="1" applyAlignment="1">
      <alignment horizontal="left" vertical="center" wrapText="1"/>
    </xf>
    <xf numFmtId="0" fontId="5" fillId="0" borderId="0" xfId="7" applyAlignment="1" applyProtection="1">
      <alignment vertical="center" wrapText="1"/>
      <protection locked="0" hidden="1"/>
    </xf>
    <xf numFmtId="0" fontId="40" fillId="0" borderId="0" xfId="7" applyFont="1" applyProtection="1">
      <protection locked="0" hidden="1"/>
    </xf>
    <xf numFmtId="0" fontId="40" fillId="7" borderId="0" xfId="7" applyFont="1" applyFill="1" applyProtection="1">
      <protection locked="0" hidden="1"/>
    </xf>
    <xf numFmtId="0" fontId="31" fillId="0" borderId="26" xfId="7" applyFont="1" applyBorder="1" applyAlignment="1">
      <alignment horizontal="left" vertical="center" wrapText="1"/>
    </xf>
    <xf numFmtId="0" fontId="31" fillId="0" borderId="3" xfId="7" applyFont="1" applyBorder="1" applyAlignment="1">
      <alignment horizontal="left" vertical="center" wrapText="1"/>
    </xf>
    <xf numFmtId="0" fontId="31" fillId="0" borderId="70" xfId="7" applyFont="1" applyBorder="1" applyAlignment="1">
      <alignment horizontal="left" vertical="center" wrapText="1"/>
    </xf>
    <xf numFmtId="0" fontId="31" fillId="0" borderId="72" xfId="7" applyFont="1" applyBorder="1" applyAlignment="1">
      <alignment horizontal="left" vertical="center" wrapText="1"/>
    </xf>
    <xf numFmtId="0" fontId="31" fillId="0" borderId="44" xfId="7" applyFont="1" applyBorder="1" applyAlignment="1">
      <alignment horizontal="left" vertical="center" wrapText="1"/>
    </xf>
    <xf numFmtId="0" fontId="49" fillId="0" borderId="26" xfId="7" applyFont="1" applyBorder="1" applyAlignment="1">
      <alignment horizontal="left" vertical="center" wrapText="1"/>
    </xf>
    <xf numFmtId="0" fontId="49" fillId="0" borderId="3" xfId="7" applyFont="1" applyBorder="1" applyAlignment="1">
      <alignment horizontal="left" vertical="center" wrapText="1"/>
    </xf>
    <xf numFmtId="0" fontId="40" fillId="7" borderId="41" xfId="7" applyFont="1" applyFill="1" applyBorder="1" applyAlignment="1">
      <alignment vertical="top" wrapText="1"/>
    </xf>
    <xf numFmtId="0" fontId="49" fillId="0" borderId="5" xfId="7" applyFont="1" applyBorder="1" applyAlignment="1">
      <alignment horizontal="left" vertical="center" wrapText="1"/>
    </xf>
    <xf numFmtId="0" fontId="49" fillId="0" borderId="22" xfId="7" applyFont="1" applyBorder="1" applyAlignment="1">
      <alignment vertical="center" wrapText="1"/>
    </xf>
    <xf numFmtId="3" fontId="49" fillId="0" borderId="3" xfId="7" applyNumberFormat="1" applyFont="1" applyBorder="1" applyAlignment="1">
      <alignment horizontal="left" vertical="center" wrapText="1"/>
    </xf>
    <xf numFmtId="0" fontId="49" fillId="0" borderId="26" xfId="7" applyFont="1" applyBorder="1" applyAlignment="1">
      <alignment vertical="center" wrapText="1"/>
    </xf>
    <xf numFmtId="0" fontId="49" fillId="0" borderId="10" xfId="7" applyFont="1" applyBorder="1" applyAlignment="1">
      <alignment horizontal="left" vertical="center" wrapText="1"/>
    </xf>
    <xf numFmtId="0" fontId="49" fillId="0" borderId="70" xfId="7" applyFont="1" applyBorder="1" applyAlignment="1">
      <alignment vertical="center" wrapText="1"/>
    </xf>
    <xf numFmtId="3" fontId="53" fillId="0" borderId="85" xfId="7" applyNumberFormat="1" applyFont="1" applyBorder="1" applyAlignment="1">
      <alignment horizontal="left" vertical="center"/>
    </xf>
    <xf numFmtId="0" fontId="49" fillId="0" borderId="85" xfId="7" applyFont="1" applyBorder="1" applyAlignment="1">
      <alignment horizontal="left" vertical="center" wrapText="1"/>
    </xf>
    <xf numFmtId="3" fontId="53" fillId="0" borderId="71" xfId="7" applyNumberFormat="1" applyFont="1" applyBorder="1" applyAlignment="1">
      <alignment horizontal="left" vertical="center"/>
    </xf>
    <xf numFmtId="0" fontId="49" fillId="0" borderId="80" xfId="7" applyFont="1" applyBorder="1" applyAlignment="1">
      <alignment horizontal="left" vertical="center" wrapText="1"/>
    </xf>
    <xf numFmtId="0" fontId="49" fillId="0" borderId="72" xfId="7" applyFont="1" applyBorder="1" applyAlignment="1">
      <alignment vertical="center" wrapText="1"/>
    </xf>
    <xf numFmtId="0" fontId="55" fillId="7" borderId="0" xfId="7" applyFont="1" applyFill="1" applyAlignment="1">
      <alignment wrapText="1"/>
    </xf>
    <xf numFmtId="0" fontId="55" fillId="7" borderId="0" xfId="7" applyFont="1" applyFill="1" applyAlignment="1" applyProtection="1">
      <alignment wrapText="1"/>
      <protection locked="0" hidden="1"/>
    </xf>
    <xf numFmtId="0" fontId="55" fillId="0" borderId="0" xfId="7" applyFont="1" applyAlignment="1" applyProtection="1">
      <alignment wrapText="1"/>
      <protection locked="0" hidden="1"/>
    </xf>
    <xf numFmtId="0" fontId="49" fillId="0" borderId="82" xfId="7" applyFont="1" applyBorder="1" applyAlignment="1">
      <alignment vertical="center" wrapText="1"/>
    </xf>
    <xf numFmtId="0" fontId="49" fillId="0" borderId="14" xfId="7" applyFont="1" applyBorder="1" applyAlignment="1">
      <alignment vertical="center" wrapText="1"/>
    </xf>
    <xf numFmtId="0" fontId="49" fillId="0" borderId="44" xfId="7" applyFont="1" applyBorder="1" applyAlignment="1">
      <alignment vertical="center" wrapText="1"/>
    </xf>
    <xf numFmtId="0" fontId="33" fillId="16" borderId="6" xfId="7" applyFont="1" applyFill="1" applyBorder="1" applyAlignment="1">
      <alignment horizontal="left" vertical="center"/>
    </xf>
    <xf numFmtId="0" fontId="49" fillId="16" borderId="6" xfId="7" applyFont="1" applyFill="1" applyBorder="1" applyAlignment="1">
      <alignment horizontal="right" vertical="center"/>
    </xf>
    <xf numFmtId="0" fontId="49" fillId="0" borderId="66" xfId="7" applyFont="1" applyBorder="1" applyAlignment="1">
      <alignment vertical="center" wrapText="1"/>
    </xf>
    <xf numFmtId="0" fontId="47" fillId="0" borderId="6" xfId="7" applyFont="1" applyBorder="1" applyAlignment="1">
      <alignment horizontal="left" vertical="center" wrapText="1"/>
    </xf>
    <xf numFmtId="0" fontId="49" fillId="0" borderId="6" xfId="7" applyFont="1" applyBorder="1" applyAlignment="1">
      <alignment vertical="center" wrapText="1"/>
    </xf>
    <xf numFmtId="9" fontId="47" fillId="0" borderId="6" xfId="7" applyNumberFormat="1" applyFont="1" applyBorder="1" applyAlignment="1">
      <alignment horizontal="left" vertical="center" wrapText="1"/>
    </xf>
    <xf numFmtId="0" fontId="49" fillId="7" borderId="84" xfId="7" applyFont="1" applyFill="1" applyBorder="1" applyAlignment="1">
      <alignment vertical="center" wrapText="1"/>
    </xf>
    <xf numFmtId="0" fontId="49" fillId="7" borderId="85" xfId="7" applyFont="1" applyFill="1" applyBorder="1" applyAlignment="1">
      <alignment vertical="center" wrapText="1"/>
    </xf>
    <xf numFmtId="0" fontId="31" fillId="0" borderId="87" xfId="7" applyFont="1" applyBorder="1" applyAlignment="1">
      <alignment horizontal="left" vertical="center" wrapText="1"/>
    </xf>
    <xf numFmtId="0" fontId="47" fillId="7" borderId="88" xfId="7" applyFont="1" applyFill="1" applyBorder="1" applyAlignment="1">
      <alignment vertical="top" wrapText="1"/>
    </xf>
    <xf numFmtId="0" fontId="49" fillId="0" borderId="25" xfId="7" applyFont="1" applyBorder="1" applyAlignment="1">
      <alignment horizontal="center" vertical="center" wrapText="1"/>
    </xf>
    <xf numFmtId="0" fontId="62" fillId="0" borderId="21" xfId="7" applyFont="1" applyBorder="1" applyAlignment="1" applyProtection="1">
      <alignment horizontal="center" vertical="center" wrapText="1"/>
      <protection locked="0"/>
    </xf>
    <xf numFmtId="0" fontId="20" fillId="0" borderId="3" xfId="7" applyFont="1" applyBorder="1" applyAlignment="1" applyProtection="1">
      <alignment horizontal="center" vertical="center" wrapText="1"/>
      <protection locked="0"/>
    </xf>
    <xf numFmtId="0" fontId="75" fillId="7" borderId="0" xfId="7" applyFont="1" applyFill="1" applyAlignment="1">
      <alignment wrapText="1"/>
    </xf>
    <xf numFmtId="0" fontId="8" fillId="7" borderId="0" xfId="7" applyFont="1" applyFill="1" applyAlignment="1" applyProtection="1">
      <alignment wrapText="1"/>
      <protection locked="0" hidden="1"/>
    </xf>
    <xf numFmtId="0" fontId="8" fillId="0" borderId="0" xfId="7" applyFont="1" applyAlignment="1" applyProtection="1">
      <alignment wrapText="1"/>
      <protection locked="0" hidden="1"/>
    </xf>
    <xf numFmtId="0" fontId="40" fillId="7" borderId="35" xfId="7" applyFont="1" applyFill="1" applyBorder="1" applyAlignment="1">
      <alignment wrapText="1"/>
    </xf>
    <xf numFmtId="0" fontId="40" fillId="7" borderId="88" xfId="7" applyFont="1" applyFill="1" applyBorder="1" applyAlignment="1">
      <alignment wrapText="1"/>
    </xf>
    <xf numFmtId="0" fontId="5" fillId="7" borderId="88" xfId="7" applyFill="1" applyBorder="1" applyAlignment="1">
      <alignment horizontal="left" vertical="center" wrapText="1"/>
    </xf>
    <xf numFmtId="0" fontId="5" fillId="7" borderId="32" xfId="7" applyFill="1" applyBorder="1" applyAlignment="1">
      <alignment wrapText="1"/>
    </xf>
    <xf numFmtId="0" fontId="5" fillId="0" borderId="0" xfId="7" applyAlignment="1" applyProtection="1">
      <alignment wrapText="1"/>
      <protection locked="0" hidden="1"/>
    </xf>
    <xf numFmtId="0" fontId="40" fillId="0" borderId="0" xfId="7" applyFont="1" applyAlignment="1">
      <alignment vertical="center" wrapText="1"/>
    </xf>
    <xf numFmtId="0" fontId="40" fillId="7" borderId="32" xfId="7" applyFont="1" applyFill="1" applyBorder="1" applyAlignment="1">
      <alignment vertical="center" wrapText="1"/>
    </xf>
    <xf numFmtId="0" fontId="40" fillId="0" borderId="0" xfId="7" applyFont="1" applyAlignment="1" applyProtection="1">
      <alignment vertical="center" wrapText="1"/>
      <protection locked="0" hidden="1"/>
    </xf>
    <xf numFmtId="0" fontId="34" fillId="7" borderId="41" xfId="7" applyFont="1" applyFill="1" applyBorder="1" applyAlignment="1">
      <alignment vertical="center" wrapText="1"/>
    </xf>
    <xf numFmtId="0" fontId="31" fillId="7" borderId="41" xfId="7" applyFont="1" applyFill="1" applyBorder="1" applyAlignment="1">
      <alignment wrapText="1"/>
    </xf>
    <xf numFmtId="0" fontId="5" fillId="7" borderId="41" xfId="7" applyFill="1" applyBorder="1"/>
    <xf numFmtId="0" fontId="5" fillId="7" borderId="0" xfId="7" applyFill="1" applyAlignment="1">
      <alignment vertical="center" wrapText="1"/>
    </xf>
    <xf numFmtId="0" fontId="5" fillId="7" borderId="41" xfId="7" applyFill="1" applyBorder="1" applyAlignment="1">
      <alignment horizontal="right" vertical="center" wrapText="1"/>
    </xf>
    <xf numFmtId="0" fontId="5" fillId="7" borderId="0" xfId="7" applyFill="1" applyAlignment="1" applyProtection="1">
      <alignment vertical="center" wrapText="1"/>
      <protection locked="0" hidden="1"/>
    </xf>
    <xf numFmtId="0" fontId="52" fillId="7" borderId="35" xfId="7" applyFont="1" applyFill="1" applyBorder="1" applyAlignment="1">
      <alignment wrapText="1"/>
    </xf>
    <xf numFmtId="0" fontId="11" fillId="7" borderId="0" xfId="8" applyFont="1" applyFill="1" applyAlignment="1">
      <alignment horizontal="left" vertical="center"/>
    </xf>
    <xf numFmtId="0" fontId="22" fillId="7" borderId="0" xfId="8" applyFill="1"/>
    <xf numFmtId="0" fontId="11" fillId="7" borderId="9" xfId="8" applyFont="1" applyFill="1" applyBorder="1" applyAlignment="1">
      <alignment horizontal="left" vertical="center"/>
    </xf>
    <xf numFmtId="0" fontId="14" fillId="6" borderId="3" xfId="8" applyFont="1" applyFill="1" applyBorder="1"/>
    <xf numFmtId="0" fontId="14" fillId="6" borderId="4" xfId="8" applyFont="1" applyFill="1" applyBorder="1"/>
    <xf numFmtId="3" fontId="22" fillId="7" borderId="0" xfId="8" applyNumberFormat="1" applyFill="1"/>
    <xf numFmtId="0" fontId="15" fillId="6" borderId="29" xfId="8" applyFont="1" applyFill="1" applyBorder="1" applyAlignment="1">
      <alignment vertical="center"/>
    </xf>
    <xf numFmtId="0" fontId="22" fillId="6" borderId="30" xfId="8" applyFill="1" applyBorder="1"/>
    <xf numFmtId="0" fontId="16" fillId="12" borderId="19" xfId="8" applyFont="1" applyFill="1" applyBorder="1" applyAlignment="1" applyProtection="1">
      <alignment horizontal="right"/>
      <protection locked="0"/>
    </xf>
    <xf numFmtId="0" fontId="22" fillId="6" borderId="25" xfId="8" applyFill="1" applyBorder="1"/>
    <xf numFmtId="0" fontId="22" fillId="6" borderId="3" xfId="8" applyFill="1" applyBorder="1"/>
    <xf numFmtId="170" fontId="18" fillId="12" borderId="20" xfId="8" applyNumberFormat="1" applyFont="1" applyFill="1" applyBorder="1" applyAlignment="1" applyProtection="1">
      <alignment horizontal="right"/>
      <protection locked="0"/>
    </xf>
    <xf numFmtId="9" fontId="18" fillId="12" borderId="33" xfId="8" applyNumberFormat="1" applyFont="1" applyFill="1" applyBorder="1" applyAlignment="1" applyProtection="1">
      <alignment horizontal="right"/>
      <protection locked="0"/>
    </xf>
    <xf numFmtId="170" fontId="18" fillId="12" borderId="36" xfId="8" applyNumberFormat="1" applyFont="1" applyFill="1" applyBorder="1" applyAlignment="1" applyProtection="1">
      <alignment horizontal="right"/>
      <protection locked="0"/>
    </xf>
    <xf numFmtId="0" fontId="13" fillId="12" borderId="7" xfId="8" applyFont="1" applyFill="1" applyBorder="1" applyAlignment="1">
      <alignment horizontal="center" vertical="center"/>
    </xf>
    <xf numFmtId="0" fontId="20" fillId="7" borderId="0" xfId="8" applyFont="1" applyFill="1"/>
    <xf numFmtId="0" fontId="16" fillId="7" borderId="0" xfId="8" applyFont="1" applyFill="1" applyAlignment="1" applyProtection="1">
      <alignment horizontal="right"/>
      <protection hidden="1"/>
    </xf>
    <xf numFmtId="3" fontId="19" fillId="7" borderId="0" xfId="8" applyNumberFormat="1" applyFont="1" applyFill="1" applyAlignment="1" applyProtection="1">
      <alignment horizontal="right"/>
      <protection hidden="1"/>
    </xf>
    <xf numFmtId="0" fontId="21" fillId="13" borderId="7" xfId="8" applyFont="1" applyFill="1" applyBorder="1" applyAlignment="1">
      <alignment horizontal="center" vertical="center"/>
    </xf>
    <xf numFmtId="0" fontId="18" fillId="7" borderId="0" xfId="8" applyFont="1" applyFill="1" applyAlignment="1" applyProtection="1">
      <alignment horizontal="right"/>
      <protection hidden="1"/>
    </xf>
    <xf numFmtId="165" fontId="13" fillId="8" borderId="0" xfId="8" applyNumberFormat="1" applyFont="1" applyFill="1" applyAlignment="1" applyProtection="1">
      <alignment horizontal="right"/>
      <protection locked="0"/>
    </xf>
    <xf numFmtId="0" fontId="25" fillId="9" borderId="7" xfId="8" applyFont="1" applyFill="1" applyBorder="1" applyAlignment="1">
      <alignment horizontal="center" vertical="center"/>
    </xf>
    <xf numFmtId="2" fontId="13" fillId="8" borderId="0" xfId="8" applyNumberFormat="1" applyFont="1" applyFill="1" applyAlignment="1" applyProtection="1">
      <alignment horizontal="right"/>
      <protection locked="0"/>
    </xf>
    <xf numFmtId="9" fontId="13" fillId="8" borderId="0" xfId="8" applyNumberFormat="1" applyFont="1" applyFill="1" applyAlignment="1" applyProtection="1">
      <alignment horizontal="right"/>
      <protection locked="0"/>
    </xf>
    <xf numFmtId="1" fontId="12" fillId="8" borderId="0" xfId="8" applyNumberFormat="1" applyFont="1" applyFill="1" applyAlignment="1" applyProtection="1">
      <alignment horizontal="right"/>
      <protection locked="0"/>
    </xf>
    <xf numFmtId="0" fontId="89" fillId="7" borderId="0" xfId="8" applyFont="1" applyFill="1"/>
    <xf numFmtId="0" fontId="22" fillId="7" borderId="0" xfId="8" applyFill="1" applyAlignment="1">
      <alignment horizontal="center"/>
    </xf>
    <xf numFmtId="0" fontId="22" fillId="6" borderId="17" xfId="8" applyFill="1" applyBorder="1" applyAlignment="1">
      <alignment horizontal="center"/>
    </xf>
    <xf numFmtId="0" fontId="22" fillId="6" borderId="19" xfId="8" applyFill="1" applyBorder="1" applyAlignment="1">
      <alignment horizontal="center"/>
    </xf>
    <xf numFmtId="0" fontId="22" fillId="6" borderId="11" xfId="8" applyFill="1" applyBorder="1" applyAlignment="1">
      <alignment horizontal="center" vertical="center" wrapText="1"/>
    </xf>
    <xf numFmtId="0" fontId="22" fillId="6" borderId="21" xfId="8" applyFill="1" applyBorder="1" applyAlignment="1">
      <alignment horizontal="center" vertical="center" wrapText="1"/>
    </xf>
    <xf numFmtId="170" fontId="23" fillId="11" borderId="11" xfId="8" applyNumberFormat="1" applyFont="1" applyFill="1" applyBorder="1" applyAlignment="1" applyProtection="1">
      <alignment horizontal="center" vertical="center"/>
      <protection locked="0"/>
    </xf>
    <xf numFmtId="170" fontId="23" fillId="11" borderId="21" xfId="8" applyNumberFormat="1" applyFont="1" applyFill="1" applyBorder="1" applyAlignment="1" applyProtection="1">
      <alignment horizontal="center" vertical="center"/>
      <protection locked="0"/>
    </xf>
    <xf numFmtId="170" fontId="23" fillId="11" borderId="3" xfId="8" applyNumberFormat="1" applyFont="1" applyFill="1" applyBorder="1" applyAlignment="1" applyProtection="1">
      <alignment horizontal="center" vertical="center"/>
      <protection locked="0"/>
    </xf>
    <xf numFmtId="170" fontId="23" fillId="11" borderId="20" xfId="8" applyNumberFormat="1" applyFont="1" applyFill="1" applyBorder="1" applyAlignment="1" applyProtection="1">
      <alignment horizontal="center" vertical="center"/>
      <protection locked="0"/>
    </xf>
    <xf numFmtId="170" fontId="23" fillId="11" borderId="10" xfId="8" applyNumberFormat="1" applyFont="1" applyFill="1" applyBorder="1" applyAlignment="1" applyProtection="1">
      <alignment horizontal="center" vertical="center"/>
      <protection locked="0"/>
    </xf>
    <xf numFmtId="170" fontId="23" fillId="11" borderId="23" xfId="8" applyNumberFormat="1" applyFont="1" applyFill="1" applyBorder="1" applyAlignment="1" applyProtection="1">
      <alignment horizontal="center" vertical="center"/>
      <protection locked="0"/>
    </xf>
    <xf numFmtId="169" fontId="0" fillId="6" borderId="3" xfId="9" applyNumberFormat="1" applyFont="1" applyFill="1" applyBorder="1" applyAlignment="1">
      <alignment horizontal="center"/>
    </xf>
    <xf numFmtId="3" fontId="23" fillId="11" borderId="3" xfId="8" applyNumberFormat="1" applyFont="1" applyFill="1" applyBorder="1" applyAlignment="1" applyProtection="1">
      <alignment horizontal="center" vertical="center"/>
      <protection locked="0"/>
    </xf>
    <xf numFmtId="3" fontId="23" fillId="11" borderId="20" xfId="8" applyNumberFormat="1" applyFont="1" applyFill="1" applyBorder="1" applyAlignment="1" applyProtection="1">
      <alignment horizontal="center" vertical="center"/>
      <protection locked="0"/>
    </xf>
    <xf numFmtId="3" fontId="23" fillId="11" borderId="10" xfId="8" applyNumberFormat="1" applyFont="1" applyFill="1" applyBorder="1" applyAlignment="1" applyProtection="1">
      <alignment horizontal="center" vertical="center"/>
      <protection locked="0"/>
    </xf>
    <xf numFmtId="3" fontId="23" fillId="11" borderId="23" xfId="8" applyNumberFormat="1" applyFont="1" applyFill="1" applyBorder="1" applyAlignment="1" applyProtection="1">
      <alignment horizontal="center" vertical="center"/>
      <protection locked="0"/>
    </xf>
    <xf numFmtId="0" fontId="23" fillId="11" borderId="3" xfId="8" applyFont="1" applyFill="1" applyBorder="1" applyAlignment="1">
      <alignment horizontal="center" vertical="center"/>
    </xf>
    <xf numFmtId="0" fontId="24" fillId="7" borderId="0" xfId="8" applyFont="1" applyFill="1"/>
    <xf numFmtId="166" fontId="22" fillId="7" borderId="0" xfId="8" applyNumberFormat="1" applyFill="1" applyAlignment="1">
      <alignment horizontal="center"/>
    </xf>
    <xf numFmtId="0" fontId="27" fillId="7" borderId="0" xfId="8" applyFont="1" applyFill="1" applyAlignment="1">
      <alignment horizontal="left"/>
    </xf>
    <xf numFmtId="10" fontId="0" fillId="7" borderId="0" xfId="10" applyNumberFormat="1" applyFont="1" applyFill="1" applyAlignment="1">
      <alignment horizontal="center"/>
    </xf>
    <xf numFmtId="167" fontId="22" fillId="7" borderId="0" xfId="8" applyNumberFormat="1" applyFill="1" applyAlignment="1">
      <alignment horizontal="center"/>
    </xf>
    <xf numFmtId="9" fontId="22" fillId="7" borderId="0" xfId="8" applyNumberFormat="1" applyFill="1" applyAlignment="1">
      <alignment horizontal="center"/>
    </xf>
    <xf numFmtId="9" fontId="0" fillId="7" borderId="0" xfId="10" applyFont="1" applyFill="1" applyAlignment="1">
      <alignment horizontal="center"/>
    </xf>
    <xf numFmtId="0" fontId="11" fillId="7" borderId="0" xfId="8" applyFont="1" applyFill="1"/>
    <xf numFmtId="3" fontId="90" fillId="11" borderId="104" xfId="8" applyNumberFormat="1" applyFont="1" applyFill="1" applyBorder="1" applyAlignment="1" applyProtection="1">
      <alignment horizontal="center" vertical="center"/>
      <protection locked="0"/>
    </xf>
    <xf numFmtId="0" fontId="26" fillId="7" borderId="0" xfId="8" applyFont="1" applyFill="1"/>
    <xf numFmtId="3" fontId="14" fillId="11" borderId="105" xfId="8" applyNumberFormat="1" applyFont="1" applyFill="1" applyBorder="1" applyAlignment="1" applyProtection="1">
      <alignment horizontal="center" vertical="center"/>
      <protection locked="0"/>
    </xf>
    <xf numFmtId="3" fontId="14" fillId="11" borderId="105" xfId="8" applyNumberFormat="1" applyFont="1" applyFill="1" applyBorder="1" applyAlignment="1">
      <alignment horizontal="center" vertical="center"/>
    </xf>
    <xf numFmtId="0" fontId="40" fillId="7" borderId="0" xfId="11" applyFont="1" applyFill="1" applyAlignment="1">
      <alignment wrapText="1"/>
    </xf>
    <xf numFmtId="0" fontId="40" fillId="7" borderId="0" xfId="11" applyFont="1" applyFill="1" applyAlignment="1" applyProtection="1">
      <alignment wrapText="1"/>
      <protection locked="0" hidden="1"/>
    </xf>
    <xf numFmtId="0" fontId="40" fillId="7" borderId="32" xfId="11" applyFont="1" applyFill="1" applyBorder="1" applyAlignment="1">
      <alignment wrapText="1"/>
    </xf>
    <xf numFmtId="0" fontId="40" fillId="7" borderId="41" xfId="11" applyFont="1" applyFill="1" applyBorder="1" applyAlignment="1">
      <alignment wrapText="1"/>
    </xf>
    <xf numFmtId="0" fontId="40" fillId="0" borderId="0" xfId="11" applyFont="1" applyAlignment="1">
      <alignment wrapText="1"/>
    </xf>
    <xf numFmtId="0" fontId="40" fillId="0" borderId="0" xfId="11" applyFont="1" applyAlignment="1" applyProtection="1">
      <alignment wrapText="1"/>
      <protection locked="0" hidden="1"/>
    </xf>
    <xf numFmtId="0" fontId="45" fillId="7" borderId="4" xfId="11" applyFont="1" applyFill="1" applyBorder="1" applyAlignment="1">
      <alignment horizontal="center" vertical="center" wrapText="1"/>
    </xf>
    <xf numFmtId="0" fontId="4" fillId="7" borderId="0" xfId="11" applyFill="1" applyAlignment="1">
      <alignment horizontal="center" vertical="center" wrapText="1"/>
    </xf>
    <xf numFmtId="0" fontId="4" fillId="7" borderId="5" xfId="11" applyFill="1" applyBorder="1" applyAlignment="1">
      <alignment horizontal="center" vertical="center" wrapText="1"/>
    </xf>
    <xf numFmtId="0" fontId="4" fillId="7" borderId="41" xfId="11" applyFill="1" applyBorder="1" applyAlignment="1">
      <alignment horizontal="center" vertical="center" wrapText="1"/>
    </xf>
    <xf numFmtId="0" fontId="33" fillId="14" borderId="3" xfId="11" applyFont="1" applyFill="1" applyBorder="1" applyAlignment="1">
      <alignment vertical="center" wrapText="1"/>
    </xf>
    <xf numFmtId="14" fontId="47" fillId="7" borderId="41" xfId="11" applyNumberFormat="1" applyFont="1" applyFill="1" applyBorder="1" applyAlignment="1">
      <alignment horizontal="left" wrapText="1"/>
    </xf>
    <xf numFmtId="0" fontId="47" fillId="7" borderId="41" xfId="11" applyFont="1" applyFill="1" applyBorder="1" applyAlignment="1">
      <alignment wrapText="1"/>
    </xf>
    <xf numFmtId="0" fontId="34" fillId="14" borderId="3" xfId="11" applyFont="1" applyFill="1" applyBorder="1" applyAlignment="1" applyProtection="1">
      <alignment horizontal="left" vertical="center" wrapText="1"/>
      <protection locked="0"/>
    </xf>
    <xf numFmtId="0" fontId="4" fillId="7" borderId="41" xfId="11" applyFill="1" applyBorder="1" applyAlignment="1">
      <alignment vertical="center" wrapText="1"/>
    </xf>
    <xf numFmtId="0" fontId="4" fillId="7" borderId="41" xfId="11" applyFill="1" applyBorder="1" applyAlignment="1">
      <alignment wrapText="1"/>
    </xf>
    <xf numFmtId="0" fontId="31" fillId="0" borderId="51" xfId="11" applyFont="1" applyBorder="1" applyAlignment="1">
      <alignment horizontal="left" vertical="center" wrapText="1" indent="6"/>
    </xf>
    <xf numFmtId="0" fontId="50" fillId="7" borderId="41" xfId="11" applyFont="1" applyFill="1" applyBorder="1" applyAlignment="1">
      <alignment vertical="top" wrapText="1"/>
    </xf>
    <xf numFmtId="0" fontId="51" fillId="7" borderId="41" xfId="11" applyFont="1" applyFill="1" applyBorder="1" applyAlignment="1">
      <alignment vertical="top" wrapText="1"/>
    </xf>
    <xf numFmtId="14" fontId="34" fillId="0" borderId="56" xfId="11" applyNumberFormat="1" applyFont="1" applyBorder="1" applyAlignment="1" applyProtection="1">
      <alignment horizontal="left" vertical="center" wrapText="1"/>
      <protection locked="0"/>
    </xf>
    <xf numFmtId="14" fontId="47" fillId="7" borderId="41" xfId="11" applyNumberFormat="1" applyFont="1" applyFill="1" applyBorder="1" applyAlignment="1">
      <alignment horizontal="left" vertical="center" wrapText="1"/>
    </xf>
    <xf numFmtId="0" fontId="40" fillId="0" borderId="5" xfId="11" applyFont="1" applyBorder="1" applyAlignment="1">
      <alignment vertical="center" wrapText="1"/>
    </xf>
    <xf numFmtId="3" fontId="33" fillId="0" borderId="60" xfId="11" applyNumberFormat="1" applyFont="1" applyBorder="1" applyAlignment="1">
      <alignment horizontal="center" vertical="center" wrapText="1"/>
    </xf>
    <xf numFmtId="0" fontId="15" fillId="0" borderId="60" xfId="11" applyFont="1" applyBorder="1" applyAlignment="1">
      <alignment horizontal="left" vertical="center" wrapText="1"/>
    </xf>
    <xf numFmtId="3" fontId="46" fillId="0" borderId="60" xfId="11" applyNumberFormat="1" applyFont="1" applyBorder="1" applyAlignment="1">
      <alignment horizontal="center" vertical="center" wrapText="1"/>
    </xf>
    <xf numFmtId="0" fontId="31" fillId="0" borderId="60" xfId="11" applyFont="1" applyBorder="1" applyAlignment="1">
      <alignment horizontal="left" vertical="center" wrapText="1"/>
    </xf>
    <xf numFmtId="0" fontId="46" fillId="0" borderId="61" xfId="11" applyFont="1" applyBorder="1" applyAlignment="1">
      <alignment horizontal="center" vertical="center" wrapText="1"/>
    </xf>
    <xf numFmtId="0" fontId="24" fillId="0" borderId="0" xfId="11" applyFont="1" applyAlignment="1">
      <alignment vertical="top" wrapText="1"/>
    </xf>
    <xf numFmtId="0" fontId="24" fillId="0" borderId="0" xfId="11" applyFont="1" applyAlignment="1">
      <alignment horizontal="center" vertical="center" wrapText="1"/>
    </xf>
    <xf numFmtId="0" fontId="4" fillId="7" borderId="41" xfId="11" applyFill="1" applyBorder="1" applyAlignment="1">
      <alignment horizontal="left" vertical="center" wrapText="1"/>
    </xf>
    <xf numFmtId="0" fontId="4" fillId="0" borderId="0" xfId="11" applyAlignment="1">
      <alignment vertical="center" wrapText="1"/>
    </xf>
    <xf numFmtId="0" fontId="4" fillId="7" borderId="32" xfId="11" applyFill="1" applyBorder="1" applyAlignment="1">
      <alignment vertical="center" wrapText="1"/>
    </xf>
    <xf numFmtId="0" fontId="31" fillId="7" borderId="41" xfId="11" applyFont="1" applyFill="1" applyBorder="1" applyAlignment="1">
      <alignment vertical="center" wrapText="1"/>
    </xf>
    <xf numFmtId="0" fontId="4" fillId="0" borderId="0" xfId="11" applyAlignment="1" applyProtection="1">
      <alignment vertical="center" wrapText="1"/>
      <protection locked="0" hidden="1"/>
    </xf>
    <xf numFmtId="0" fontId="34" fillId="0" borderId="3" xfId="12" applyFont="1" applyBorder="1" applyAlignment="1" applyProtection="1">
      <alignment vertical="top" wrapText="1"/>
      <protection locked="0"/>
    </xf>
    <xf numFmtId="14" fontId="34" fillId="0" borderId="20" xfId="12" applyNumberFormat="1" applyFont="1" applyBorder="1" applyAlignment="1" applyProtection="1">
      <alignment horizontal="left" vertical="top" wrapText="1"/>
      <protection locked="0"/>
    </xf>
    <xf numFmtId="14" fontId="47" fillId="7" borderId="41" xfId="11" applyNumberFormat="1" applyFont="1" applyFill="1" applyBorder="1" applyAlignment="1">
      <alignment horizontal="left" vertical="top" wrapText="1"/>
    </xf>
    <xf numFmtId="14" fontId="34" fillId="0" borderId="20" xfId="11" applyNumberFormat="1" applyFont="1" applyBorder="1" applyAlignment="1" applyProtection="1">
      <alignment horizontal="left" vertical="top" wrapText="1"/>
      <protection locked="0"/>
    </xf>
    <xf numFmtId="14" fontId="34" fillId="0" borderId="15" xfId="11" applyNumberFormat="1" applyFont="1" applyBorder="1" applyAlignment="1" applyProtection="1">
      <alignment horizontal="left" vertical="top" wrapText="1"/>
      <protection locked="0"/>
    </xf>
    <xf numFmtId="0" fontId="40" fillId="0" borderId="0" xfId="11" applyFont="1" applyProtection="1">
      <protection locked="0" hidden="1"/>
    </xf>
    <xf numFmtId="0" fontId="40" fillId="7" borderId="0" xfId="11" applyFont="1" applyFill="1" applyProtection="1">
      <protection locked="0" hidden="1"/>
    </xf>
    <xf numFmtId="0" fontId="31" fillId="0" borderId="26" xfId="11" applyFont="1" applyBorder="1" applyAlignment="1">
      <alignment horizontal="left" vertical="center" wrapText="1"/>
    </xf>
    <xf numFmtId="3" fontId="34" fillId="7" borderId="10" xfId="11" applyNumberFormat="1" applyFont="1" applyFill="1" applyBorder="1" applyAlignment="1">
      <alignment horizontal="left" vertical="center" wrapText="1"/>
    </xf>
    <xf numFmtId="49" fontId="31" fillId="0" borderId="3" xfId="11" applyNumberFormat="1" applyFont="1" applyBorder="1" applyAlignment="1">
      <alignment horizontal="left" vertical="center" wrapText="1"/>
    </xf>
    <xf numFmtId="3" fontId="34" fillId="0" borderId="3" xfId="11" applyNumberFormat="1" applyFont="1" applyBorder="1" applyAlignment="1">
      <alignment horizontal="left" vertical="center" wrapText="1"/>
    </xf>
    <xf numFmtId="0" fontId="31" fillId="0" borderId="3" xfId="11" applyFont="1" applyBorder="1" applyAlignment="1">
      <alignment horizontal="left" vertical="center" wrapText="1"/>
    </xf>
    <xf numFmtId="14" fontId="34" fillId="16" borderId="20" xfId="11" applyNumberFormat="1" applyFont="1" applyFill="1" applyBorder="1" applyAlignment="1" applyProtection="1">
      <alignment horizontal="left" vertical="center" wrapText="1"/>
      <protection locked="0"/>
    </xf>
    <xf numFmtId="0" fontId="47" fillId="7" borderId="41" xfId="11" applyFont="1" applyFill="1" applyBorder="1" applyAlignment="1">
      <alignment vertical="center" wrapText="1"/>
    </xf>
    <xf numFmtId="0" fontId="31" fillId="0" borderId="70" xfId="11" applyFont="1" applyBorder="1" applyAlignment="1">
      <alignment horizontal="left" vertical="center" wrapText="1"/>
    </xf>
    <xf numFmtId="3" fontId="54" fillId="16" borderId="71" xfId="11" applyNumberFormat="1" applyFont="1" applyFill="1" applyBorder="1" applyAlignment="1" applyProtection="1">
      <alignment horizontal="left" vertical="center" wrapText="1"/>
      <protection locked="0"/>
    </xf>
    <xf numFmtId="49" fontId="31" fillId="0" borderId="5" xfId="11" applyNumberFormat="1" applyFont="1" applyBorder="1" applyAlignment="1">
      <alignment horizontal="left" vertical="center" wrapText="1"/>
    </xf>
    <xf numFmtId="0" fontId="31" fillId="0" borderId="72" xfId="11" applyFont="1" applyBorder="1" applyAlignment="1">
      <alignment horizontal="left" vertical="center" wrapText="1"/>
    </xf>
    <xf numFmtId="3" fontId="34" fillId="16" borderId="73" xfId="11" applyNumberFormat="1" applyFont="1" applyFill="1" applyBorder="1" applyAlignment="1" applyProtection="1">
      <alignment horizontal="left" vertical="center" wrapText="1"/>
      <protection locked="0"/>
    </xf>
    <xf numFmtId="0" fontId="31" fillId="0" borderId="44" xfId="11" applyFont="1" applyBorder="1" applyAlignment="1">
      <alignment horizontal="left" vertical="center" wrapText="1"/>
    </xf>
    <xf numFmtId="14" fontId="34" fillId="16" borderId="44" xfId="11" applyNumberFormat="1" applyFont="1" applyFill="1" applyBorder="1" applyAlignment="1" applyProtection="1">
      <alignment horizontal="left" vertical="center" wrapText="1"/>
      <protection locked="0"/>
    </xf>
    <xf numFmtId="0" fontId="50" fillId="7" borderId="0" xfId="11" applyFont="1" applyFill="1" applyAlignment="1">
      <alignment horizontal="right" wrapText="1"/>
    </xf>
    <xf numFmtId="0" fontId="4" fillId="0" borderId="0" xfId="11" applyAlignment="1">
      <alignment wrapText="1"/>
    </xf>
    <xf numFmtId="0" fontId="40" fillId="7" borderId="34" xfId="11" applyFont="1" applyFill="1" applyBorder="1" applyAlignment="1">
      <alignment wrapText="1"/>
    </xf>
    <xf numFmtId="0" fontId="50" fillId="7" borderId="35" xfId="11" applyFont="1" applyFill="1" applyBorder="1" applyAlignment="1">
      <alignment horizontal="right" wrapText="1"/>
    </xf>
    <xf numFmtId="0" fontId="4" fillId="0" borderId="35" xfId="11" applyBorder="1" applyAlignment="1">
      <alignment wrapText="1"/>
    </xf>
    <xf numFmtId="0" fontId="40" fillId="7" borderId="75" xfId="11" applyFont="1" applyFill="1" applyBorder="1" applyAlignment="1">
      <alignment wrapText="1"/>
    </xf>
    <xf numFmtId="0" fontId="49" fillId="0" borderId="26" xfId="11" applyFont="1" applyBorder="1" applyAlignment="1">
      <alignment horizontal="left" vertical="center" wrapText="1"/>
    </xf>
    <xf numFmtId="9" fontId="34" fillId="16" borderId="3" xfId="11" applyNumberFormat="1" applyFont="1" applyFill="1" applyBorder="1" applyAlignment="1" applyProtection="1">
      <alignment horizontal="left" vertical="center" wrapText="1"/>
      <protection locked="0"/>
    </xf>
    <xf numFmtId="0" fontId="49" fillId="0" borderId="3" xfId="11" applyFont="1" applyBorder="1" applyAlignment="1">
      <alignment horizontal="left" vertical="center" wrapText="1"/>
    </xf>
    <xf numFmtId="9" fontId="34" fillId="16" borderId="20" xfId="11" applyNumberFormat="1" applyFont="1" applyFill="1" applyBorder="1" applyAlignment="1" applyProtection="1">
      <alignment horizontal="left" vertical="center" wrapText="1"/>
      <protection locked="0"/>
    </xf>
    <xf numFmtId="0" fontId="40" fillId="7" borderId="41" xfId="11" applyFont="1" applyFill="1" applyBorder="1" applyAlignment="1">
      <alignment vertical="top" wrapText="1"/>
    </xf>
    <xf numFmtId="0" fontId="49" fillId="0" borderId="25" xfId="11" applyFont="1" applyBorder="1" applyAlignment="1">
      <alignment vertical="center" wrapText="1"/>
    </xf>
    <xf numFmtId="0" fontId="34" fillId="16" borderId="3" xfId="11" applyFont="1" applyFill="1" applyBorder="1" applyAlignment="1" applyProtection="1">
      <alignment horizontal="left" vertical="center" wrapText="1"/>
      <protection locked="0"/>
    </xf>
    <xf numFmtId="0" fontId="49" fillId="0" borderId="5" xfId="11" applyFont="1" applyBorder="1" applyAlignment="1">
      <alignment horizontal="left" vertical="center" wrapText="1"/>
    </xf>
    <xf numFmtId="0" fontId="58" fillId="0" borderId="20" xfId="11" applyFont="1" applyBorder="1" applyAlignment="1" applyProtection="1">
      <alignment horizontal="center" vertical="center" wrapText="1"/>
      <protection locked="0"/>
    </xf>
    <xf numFmtId="0" fontId="49" fillId="0" borderId="22" xfId="11" applyFont="1" applyBorder="1" applyAlignment="1">
      <alignment vertical="center" wrapText="1"/>
    </xf>
    <xf numFmtId="167" fontId="34" fillId="16" borderId="11" xfId="11" applyNumberFormat="1" applyFont="1" applyFill="1" applyBorder="1" applyAlignment="1" applyProtection="1">
      <alignment horizontal="left" vertical="center" wrapText="1"/>
      <protection locked="0"/>
    </xf>
    <xf numFmtId="3" fontId="49" fillId="0" borderId="3" xfId="11" applyNumberFormat="1" applyFont="1" applyBorder="1" applyAlignment="1">
      <alignment horizontal="left" vertical="center" wrapText="1"/>
    </xf>
    <xf numFmtId="0" fontId="49" fillId="0" borderId="26" xfId="11" applyFont="1" applyBorder="1" applyAlignment="1">
      <alignment vertical="center" wrapText="1"/>
    </xf>
    <xf numFmtId="0" fontId="34" fillId="16" borderId="10" xfId="11" applyFont="1" applyFill="1" applyBorder="1" applyAlignment="1" applyProtection="1">
      <alignment horizontal="left" vertical="center" wrapText="1"/>
      <protection locked="0"/>
    </xf>
    <xf numFmtId="0" fontId="49" fillId="0" borderId="10" xfId="11" applyFont="1" applyBorder="1" applyAlignment="1">
      <alignment horizontal="left" vertical="center" wrapText="1"/>
    </xf>
    <xf numFmtId="0" fontId="49" fillId="0" borderId="70" xfId="11" applyFont="1" applyBorder="1" applyAlignment="1">
      <alignment vertical="center" wrapText="1"/>
    </xf>
    <xf numFmtId="3" fontId="53" fillId="0" borderId="78" xfId="11" applyNumberFormat="1" applyFont="1" applyBorder="1" applyAlignment="1">
      <alignment horizontal="left" vertical="center"/>
    </xf>
    <xf numFmtId="0" fontId="49" fillId="0" borderId="78" xfId="11" applyFont="1" applyBorder="1" applyAlignment="1">
      <alignment horizontal="left" vertical="center" wrapText="1"/>
    </xf>
    <xf numFmtId="3" fontId="53" fillId="0" borderId="79" xfId="11" applyNumberFormat="1" applyFont="1" applyBorder="1" applyAlignment="1">
      <alignment horizontal="left" vertical="center"/>
    </xf>
    <xf numFmtId="0" fontId="49" fillId="0" borderId="106" xfId="11" applyFont="1" applyBorder="1" applyAlignment="1">
      <alignment horizontal="left" vertical="center" wrapText="1"/>
    </xf>
    <xf numFmtId="14" fontId="34" fillId="16" borderId="107" xfId="11" applyNumberFormat="1" applyFont="1" applyFill="1" applyBorder="1" applyAlignment="1" applyProtection="1">
      <alignment horizontal="left" vertical="center" wrapText="1"/>
      <protection locked="0"/>
    </xf>
    <xf numFmtId="0" fontId="49" fillId="0" borderId="72" xfId="11" applyFont="1" applyBorder="1" applyAlignment="1">
      <alignment vertical="center" wrapText="1"/>
    </xf>
    <xf numFmtId="0" fontId="55" fillId="7" borderId="0" xfId="11" applyFont="1" applyFill="1" applyAlignment="1">
      <alignment wrapText="1"/>
    </xf>
    <xf numFmtId="0" fontId="55" fillId="7" borderId="32" xfId="11" applyFont="1" applyFill="1" applyBorder="1" applyAlignment="1">
      <alignment wrapText="1"/>
    </xf>
    <xf numFmtId="0" fontId="55" fillId="7" borderId="41" xfId="11" applyFont="1" applyFill="1" applyBorder="1" applyAlignment="1">
      <alignment horizontal="left" vertical="center" wrapText="1"/>
    </xf>
    <xf numFmtId="0" fontId="55" fillId="7" borderId="0" xfId="11" applyFont="1" applyFill="1" applyAlignment="1" applyProtection="1">
      <alignment wrapText="1"/>
      <protection locked="0" hidden="1"/>
    </xf>
    <xf numFmtId="0" fontId="55" fillId="0" borderId="0" xfId="11" applyFont="1" applyAlignment="1" applyProtection="1">
      <alignment wrapText="1"/>
      <protection locked="0" hidden="1"/>
    </xf>
    <xf numFmtId="0" fontId="49" fillId="0" borderId="82" xfId="11" applyFont="1" applyBorder="1" applyAlignment="1">
      <alignment vertical="center" wrapText="1"/>
    </xf>
    <xf numFmtId="0" fontId="49" fillId="0" borderId="3" xfId="11" applyFont="1" applyBorder="1" applyAlignment="1">
      <alignment vertical="center" wrapText="1"/>
    </xf>
    <xf numFmtId="3" fontId="34" fillId="16" borderId="20" xfId="11" applyNumberFormat="1" applyFont="1" applyFill="1" applyBorder="1" applyAlignment="1" applyProtection="1">
      <alignment horizontal="left" vertical="center" wrapText="1"/>
      <protection locked="0"/>
    </xf>
    <xf numFmtId="0" fontId="47" fillId="7" borderId="41" xfId="11" applyFont="1" applyFill="1" applyBorder="1" applyAlignment="1">
      <alignment vertical="top" wrapText="1"/>
    </xf>
    <xf numFmtId="0" fontId="34" fillId="16" borderId="20" xfId="11" applyFont="1" applyFill="1" applyBorder="1" applyAlignment="1" applyProtection="1">
      <alignment horizontal="left" vertical="center" wrapText="1"/>
      <protection locked="0"/>
    </xf>
    <xf numFmtId="0" fontId="49" fillId="0" borderId="14" xfId="11" applyFont="1" applyBorder="1" applyAlignment="1">
      <alignment vertical="center" wrapText="1"/>
    </xf>
    <xf numFmtId="0" fontId="34" fillId="0" borderId="44" xfId="11" applyFont="1" applyBorder="1" applyAlignment="1">
      <alignment horizontal="left" vertical="center" wrapText="1"/>
    </xf>
    <xf numFmtId="0" fontId="49" fillId="0" borderId="44" xfId="11" applyFont="1" applyBorder="1" applyAlignment="1">
      <alignment vertical="center" wrapText="1"/>
    </xf>
    <xf numFmtId="9" fontId="34" fillId="0" borderId="44" xfId="11" applyNumberFormat="1" applyFont="1" applyBorder="1" applyAlignment="1">
      <alignment horizontal="left" vertical="center" wrapText="1"/>
    </xf>
    <xf numFmtId="10" fontId="34" fillId="0" borderId="15" xfId="11" applyNumberFormat="1" applyFont="1" applyBorder="1" applyAlignment="1">
      <alignment horizontal="left" vertical="center" wrapText="1"/>
    </xf>
    <xf numFmtId="0" fontId="49" fillId="0" borderId="69" xfId="11" applyFont="1" applyBorder="1" applyAlignment="1">
      <alignment vertical="center" wrapText="1"/>
    </xf>
    <xf numFmtId="0" fontId="34" fillId="0" borderId="69" xfId="11" applyFont="1" applyBorder="1" applyAlignment="1">
      <alignment horizontal="left" vertical="center" wrapText="1"/>
    </xf>
    <xf numFmtId="9" fontId="34" fillId="0" borderId="69" xfId="11" applyNumberFormat="1" applyFont="1" applyBorder="1" applyAlignment="1">
      <alignment horizontal="left" vertical="center" wrapText="1"/>
    </xf>
    <xf numFmtId="10" fontId="34" fillId="0" borderId="69" xfId="11" applyNumberFormat="1" applyFont="1" applyBorder="1" applyAlignment="1">
      <alignment horizontal="left" vertical="center" wrapText="1"/>
    </xf>
    <xf numFmtId="0" fontId="49" fillId="0" borderId="67" xfId="11" applyFont="1" applyBorder="1" applyAlignment="1">
      <alignment vertical="center" wrapText="1"/>
    </xf>
    <xf numFmtId="0" fontId="34" fillId="0" borderId="81" xfId="11" applyFont="1" applyBorder="1" applyAlignment="1">
      <alignment horizontal="left" vertical="center" wrapText="1"/>
    </xf>
    <xf numFmtId="0" fontId="49" fillId="0" borderId="81" xfId="11" applyFont="1" applyBorder="1" applyAlignment="1">
      <alignment vertical="center" wrapText="1"/>
    </xf>
    <xf numFmtId="9" fontId="34" fillId="0" borderId="81" xfId="11" applyNumberFormat="1" applyFont="1" applyBorder="1" applyAlignment="1">
      <alignment horizontal="left" vertical="center" wrapText="1"/>
    </xf>
    <xf numFmtId="10" fontId="34" fillId="0" borderId="36" xfId="11" applyNumberFormat="1" applyFont="1" applyBorder="1" applyAlignment="1">
      <alignment horizontal="left" vertical="center" wrapText="1"/>
    </xf>
    <xf numFmtId="0" fontId="31" fillId="16" borderId="12" xfId="11" applyFont="1" applyFill="1" applyBorder="1" applyAlignment="1">
      <alignment horizontal="left" vertical="center"/>
    </xf>
    <xf numFmtId="0" fontId="4" fillId="16" borderId="65" xfId="11" applyFill="1" applyBorder="1" applyAlignment="1">
      <alignment horizontal="left" vertical="center"/>
    </xf>
    <xf numFmtId="0" fontId="49" fillId="16" borderId="65" xfId="11" applyFont="1" applyFill="1" applyBorder="1" applyAlignment="1">
      <alignment horizontal="right" vertical="center"/>
    </xf>
    <xf numFmtId="0" fontId="33" fillId="16" borderId="13" xfId="11" applyFont="1" applyFill="1" applyBorder="1" applyAlignment="1" applyProtection="1">
      <alignment horizontal="center" vertical="center"/>
      <protection locked="0"/>
    </xf>
    <xf numFmtId="0" fontId="49" fillId="0" borderId="83" xfId="11" applyFont="1" applyBorder="1" applyAlignment="1">
      <alignment vertical="center" wrapText="1"/>
    </xf>
    <xf numFmtId="0" fontId="47" fillId="0" borderId="9" xfId="11" applyFont="1" applyBorder="1" applyAlignment="1">
      <alignment horizontal="left" vertical="center" wrapText="1"/>
    </xf>
    <xf numFmtId="0" fontId="49" fillId="0" borderId="9" xfId="11" applyFont="1" applyBorder="1" applyAlignment="1">
      <alignment vertical="center" wrapText="1"/>
    </xf>
    <xf numFmtId="9" fontId="47" fillId="0" borderId="9" xfId="11" applyNumberFormat="1" applyFont="1" applyBorder="1" applyAlignment="1">
      <alignment horizontal="left" vertical="center" wrapText="1"/>
    </xf>
    <xf numFmtId="10" fontId="47" fillId="0" borderId="42" xfId="11" applyNumberFormat="1" applyFont="1" applyBorder="1" applyAlignment="1">
      <alignment horizontal="left" vertical="center" wrapText="1"/>
    </xf>
    <xf numFmtId="0" fontId="47" fillId="16" borderId="3" xfId="11" applyFont="1" applyFill="1" applyBorder="1" applyAlignment="1">
      <alignment horizontal="left" vertical="center" wrapText="1"/>
    </xf>
    <xf numFmtId="3" fontId="53" fillId="0" borderId="3" xfId="11" applyNumberFormat="1" applyFont="1" applyBorder="1" applyAlignment="1">
      <alignment horizontal="left" vertical="center" wrapText="1"/>
    </xf>
    <xf numFmtId="0" fontId="33" fillId="16" borderId="6" xfId="11" applyFont="1" applyFill="1" applyBorder="1" applyAlignment="1">
      <alignment horizontal="left" vertical="center"/>
    </xf>
    <xf numFmtId="0" fontId="49" fillId="16" borderId="6" xfId="11" applyFont="1" applyFill="1" applyBorder="1" applyAlignment="1">
      <alignment horizontal="right" vertical="center"/>
    </xf>
    <xf numFmtId="0" fontId="49" fillId="0" borderId="66" xfId="11" applyFont="1" applyBorder="1" applyAlignment="1">
      <alignment vertical="center" wrapText="1"/>
    </xf>
    <xf numFmtId="0" fontId="47" fillId="0" borderId="6" xfId="11" applyFont="1" applyBorder="1" applyAlignment="1">
      <alignment horizontal="left" vertical="center" wrapText="1"/>
    </xf>
    <xf numFmtId="0" fontId="49" fillId="0" borderId="6" xfId="11" applyFont="1" applyBorder="1" applyAlignment="1">
      <alignment vertical="center" wrapText="1"/>
    </xf>
    <xf numFmtId="9" fontId="47" fillId="0" borderId="6" xfId="11" applyNumberFormat="1" applyFont="1" applyBorder="1" applyAlignment="1">
      <alignment horizontal="left" vertical="center" wrapText="1"/>
    </xf>
    <xf numFmtId="0" fontId="49" fillId="7" borderId="84" xfId="11" applyFont="1" applyFill="1" applyBorder="1" applyAlignment="1">
      <alignment vertical="center" wrapText="1"/>
    </xf>
    <xf numFmtId="3" fontId="53" fillId="0" borderId="85" xfId="11" applyNumberFormat="1" applyFont="1" applyBorder="1" applyAlignment="1">
      <alignment horizontal="left" vertical="center" wrapText="1"/>
    </xf>
    <xf numFmtId="0" fontId="49" fillId="7" borderId="85" xfId="11" applyFont="1" applyFill="1" applyBorder="1" applyAlignment="1">
      <alignment vertical="center" wrapText="1"/>
    </xf>
    <xf numFmtId="3" fontId="53" fillId="0" borderId="86" xfId="11" applyNumberFormat="1" applyFont="1" applyBorder="1" applyAlignment="1">
      <alignment horizontal="left" vertical="center" wrapText="1"/>
    </xf>
    <xf numFmtId="0" fontId="31" fillId="0" borderId="111" xfId="11" applyFont="1" applyBorder="1" applyAlignment="1">
      <alignment horizontal="left" vertical="center" wrapText="1"/>
    </xf>
    <xf numFmtId="3" fontId="54" fillId="0" borderId="15" xfId="11" applyNumberFormat="1" applyFont="1" applyBorder="1" applyAlignment="1">
      <alignment horizontal="left" vertical="center" wrapText="1"/>
    </xf>
    <xf numFmtId="0" fontId="47" fillId="7" borderId="88" xfId="11" applyFont="1" applyFill="1" applyBorder="1" applyAlignment="1">
      <alignment vertical="top" wrapText="1"/>
    </xf>
    <xf numFmtId="0" fontId="49" fillId="0" borderId="25" xfId="11" applyFont="1" applyBorder="1" applyAlignment="1">
      <alignment horizontal="center" vertical="center" wrapText="1"/>
    </xf>
    <xf numFmtId="0" fontId="62" fillId="0" borderId="5" xfId="11" applyFont="1" applyBorder="1" applyAlignment="1" applyProtection="1">
      <alignment horizontal="center" vertical="center" wrapText="1"/>
      <protection locked="0"/>
    </xf>
    <xf numFmtId="0" fontId="49" fillId="0" borderId="11" xfId="11" applyFont="1" applyBorder="1" applyAlignment="1">
      <alignment vertical="center" wrapText="1"/>
    </xf>
    <xf numFmtId="0" fontId="62" fillId="0" borderId="11" xfId="11" applyFont="1" applyBorder="1" applyAlignment="1" applyProtection="1">
      <alignment horizontal="center" vertical="center" wrapText="1"/>
      <protection locked="0"/>
    </xf>
    <xf numFmtId="0" fontId="62" fillId="0" borderId="74" xfId="11" applyFont="1" applyBorder="1" applyAlignment="1" applyProtection="1">
      <alignment horizontal="center" vertical="center" wrapText="1"/>
      <protection locked="0"/>
    </xf>
    <xf numFmtId="0" fontId="34" fillId="0" borderId="3" xfId="11" applyFont="1" applyBorder="1" applyAlignment="1" applyProtection="1">
      <alignment horizontal="left" vertical="center" wrapText="1"/>
      <protection locked="0"/>
    </xf>
    <xf numFmtId="0" fontId="34" fillId="7" borderId="41" xfId="11" applyFont="1" applyFill="1" applyBorder="1" applyAlignment="1">
      <alignment wrapText="1"/>
    </xf>
    <xf numFmtId="0" fontId="92" fillId="0" borderId="25" xfId="11" applyFont="1" applyBorder="1" applyAlignment="1">
      <alignment vertical="center" wrapText="1"/>
    </xf>
    <xf numFmtId="14" fontId="34" fillId="0" borderId="3" xfId="11" applyNumberFormat="1" applyFont="1" applyBorder="1" applyAlignment="1" applyProtection="1">
      <alignment horizontal="left" vertical="center" wrapText="1"/>
      <protection locked="0"/>
    </xf>
    <xf numFmtId="0" fontId="4" fillId="7" borderId="41" xfId="11" applyFill="1" applyBorder="1" applyAlignment="1">
      <alignment vertical="top" wrapText="1"/>
    </xf>
    <xf numFmtId="0" fontId="20" fillId="0" borderId="3" xfId="11" applyFont="1" applyBorder="1" applyAlignment="1" applyProtection="1">
      <alignment horizontal="center" vertical="center" wrapText="1"/>
      <protection locked="0"/>
    </xf>
    <xf numFmtId="14" fontId="34" fillId="0" borderId="44" xfId="11" applyNumberFormat="1" applyFont="1" applyBorder="1" applyAlignment="1" applyProtection="1">
      <alignment horizontal="left" vertical="center" wrapText="1"/>
      <protection locked="0"/>
    </xf>
    <xf numFmtId="0" fontId="8" fillId="7" borderId="0" xfId="11" applyFont="1" applyFill="1" applyAlignment="1">
      <alignment wrapText="1"/>
    </xf>
    <xf numFmtId="0" fontId="8" fillId="7" borderId="32" xfId="11" applyFont="1" applyFill="1" applyBorder="1" applyAlignment="1">
      <alignment wrapText="1"/>
    </xf>
    <xf numFmtId="0" fontId="75" fillId="7" borderId="0" xfId="11" applyFont="1" applyFill="1" applyAlignment="1">
      <alignment wrapText="1"/>
    </xf>
    <xf numFmtId="0" fontId="8" fillId="7" borderId="41" xfId="11" applyFont="1" applyFill="1" applyBorder="1" applyAlignment="1">
      <alignment wrapText="1"/>
    </xf>
    <xf numFmtId="0" fontId="8" fillId="7" borderId="0" xfId="11" applyFont="1" applyFill="1" applyAlignment="1" applyProtection="1">
      <alignment wrapText="1"/>
      <protection locked="0" hidden="1"/>
    </xf>
    <xf numFmtId="0" fontId="8" fillId="0" borderId="0" xfId="11" applyFont="1" applyAlignment="1" applyProtection="1">
      <alignment wrapText="1"/>
      <protection locked="0" hidden="1"/>
    </xf>
    <xf numFmtId="0" fontId="40" fillId="7" borderId="88" xfId="11" applyFont="1" applyFill="1" applyBorder="1" applyAlignment="1">
      <alignment wrapText="1"/>
    </xf>
    <xf numFmtId="0" fontId="4" fillId="7" borderId="88" xfId="11" applyFill="1" applyBorder="1" applyAlignment="1">
      <alignment horizontal="left" vertical="center" wrapText="1"/>
    </xf>
    <xf numFmtId="0" fontId="40" fillId="7" borderId="66" xfId="11" applyFont="1" applyFill="1" applyBorder="1" applyAlignment="1" applyProtection="1">
      <alignment horizontal="center" vertical="center" wrapText="1"/>
      <protection locked="0"/>
    </xf>
    <xf numFmtId="0" fontId="40" fillId="0" borderId="4" xfId="11" applyFont="1" applyBorder="1" applyAlignment="1" applyProtection="1">
      <alignment horizontal="center" vertical="center" wrapText="1"/>
      <protection locked="0"/>
    </xf>
    <xf numFmtId="0" fontId="40" fillId="0" borderId="0" xfId="11" applyFont="1" applyAlignment="1">
      <alignment horizontal="left" vertical="top" wrapText="1"/>
    </xf>
    <xf numFmtId="0" fontId="40" fillId="0" borderId="0" xfId="11" applyFont="1" applyAlignment="1">
      <alignment vertical="top" wrapText="1"/>
    </xf>
    <xf numFmtId="0" fontId="49" fillId="0" borderId="35" xfId="11" applyFont="1" applyBorder="1" applyAlignment="1">
      <alignment vertical="center" wrapText="1"/>
    </xf>
    <xf numFmtId="14" fontId="47" fillId="0" borderId="35" xfId="11" applyNumberFormat="1" applyFont="1" applyBorder="1" applyAlignment="1">
      <alignment horizontal="left" vertical="center" wrapText="1"/>
    </xf>
    <xf numFmtId="0" fontId="40" fillId="0" borderId="69" xfId="11" applyFont="1" applyBorder="1" applyAlignment="1">
      <alignment horizontal="right" vertical="top" wrapText="1"/>
    </xf>
    <xf numFmtId="0" fontId="47" fillId="0" borderId="35" xfId="11" applyFont="1" applyBorder="1" applyAlignment="1">
      <alignment wrapText="1"/>
    </xf>
    <xf numFmtId="0" fontId="34" fillId="7" borderId="75" xfId="11" applyFont="1" applyFill="1" applyBorder="1" applyAlignment="1">
      <alignment wrapText="1"/>
    </xf>
    <xf numFmtId="0" fontId="40" fillId="0" borderId="0" xfId="11" applyFont="1" applyAlignment="1">
      <alignment vertical="center" wrapText="1"/>
    </xf>
    <xf numFmtId="0" fontId="40" fillId="7" borderId="32" xfId="11" applyFont="1" applyFill="1" applyBorder="1" applyAlignment="1">
      <alignment vertical="center" wrapText="1"/>
    </xf>
    <xf numFmtId="0" fontId="40" fillId="0" borderId="0" xfId="11" applyFont="1" applyAlignment="1" applyProtection="1">
      <alignment vertical="center" wrapText="1"/>
      <protection locked="0" hidden="1"/>
    </xf>
    <xf numFmtId="0" fontId="31" fillId="0" borderId="25" xfId="11" applyFont="1" applyBorder="1" applyAlignment="1">
      <alignment vertical="center" wrapText="1"/>
    </xf>
    <xf numFmtId="0" fontId="34" fillId="0" borderId="25" xfId="12" applyFont="1" applyBorder="1" applyAlignment="1" applyProtection="1">
      <alignment vertical="center" wrapText="1"/>
      <protection locked="0"/>
    </xf>
    <xf numFmtId="0" fontId="34" fillId="7" borderId="41" xfId="11" applyFont="1" applyFill="1" applyBorder="1" applyAlignment="1">
      <alignment vertical="center" wrapText="1"/>
    </xf>
    <xf numFmtId="0" fontId="34" fillId="0" borderId="25" xfId="11" applyFont="1" applyBorder="1" applyAlignment="1" applyProtection="1">
      <alignment vertical="center" wrapText="1"/>
      <protection locked="0"/>
    </xf>
    <xf numFmtId="0" fontId="34" fillId="0" borderId="72" xfId="11" applyFont="1" applyBorder="1" applyAlignment="1" applyProtection="1">
      <alignment vertical="center" wrapText="1"/>
      <protection locked="0"/>
    </xf>
    <xf numFmtId="0" fontId="4" fillId="7" borderId="32" xfId="11" applyFill="1" applyBorder="1" applyAlignment="1">
      <alignment wrapText="1"/>
    </xf>
    <xf numFmtId="0" fontId="31" fillId="0" borderId="25" xfId="11" applyFont="1" applyBorder="1" applyAlignment="1">
      <alignment wrapText="1"/>
    </xf>
    <xf numFmtId="0" fontId="31" fillId="0" borderId="3" xfId="11" applyFont="1" applyBorder="1" applyAlignment="1">
      <alignment wrapText="1"/>
    </xf>
    <xf numFmtId="0" fontId="31" fillId="0" borderId="20" xfId="11" applyFont="1" applyBorder="1" applyAlignment="1">
      <alignment wrapText="1"/>
    </xf>
    <xf numFmtId="0" fontId="31" fillId="7" borderId="41" xfId="11" applyFont="1" applyFill="1" applyBorder="1" applyAlignment="1">
      <alignment wrapText="1"/>
    </xf>
    <xf numFmtId="0" fontId="4" fillId="0" borderId="0" xfId="11" applyAlignment="1" applyProtection="1">
      <alignment wrapText="1"/>
      <protection locked="0" hidden="1"/>
    </xf>
    <xf numFmtId="0" fontId="34" fillId="0" borderId="25" xfId="12" applyFont="1" applyBorder="1" applyAlignment="1" applyProtection="1">
      <alignment wrapText="1"/>
      <protection locked="0"/>
    </xf>
    <xf numFmtId="0" fontId="34" fillId="0" borderId="3" xfId="12" applyFont="1" applyBorder="1" applyAlignment="1" applyProtection="1">
      <alignment wrapText="1"/>
      <protection locked="0"/>
    </xf>
    <xf numFmtId="0" fontId="34" fillId="0" borderId="20" xfId="12" applyFont="1" applyBorder="1" applyAlignment="1" applyProtection="1">
      <alignment wrapText="1"/>
      <protection locked="0"/>
    </xf>
    <xf numFmtId="0" fontId="34" fillId="0" borderId="5" xfId="11" applyFont="1" applyBorder="1" applyAlignment="1" applyProtection="1">
      <alignment wrapText="1"/>
      <protection locked="0"/>
    </xf>
    <xf numFmtId="0" fontId="34" fillId="0" borderId="3" xfId="11" applyFont="1" applyBorder="1" applyAlignment="1" applyProtection="1">
      <alignment horizontal="center" wrapText="1"/>
      <protection locked="0"/>
    </xf>
    <xf numFmtId="0" fontId="34" fillId="0" borderId="20" xfId="11" applyFont="1" applyBorder="1" applyAlignment="1" applyProtection="1">
      <alignment horizontal="center" wrapText="1"/>
      <protection locked="0"/>
    </xf>
    <xf numFmtId="0" fontId="4" fillId="7" borderId="41" xfId="11" applyFill="1" applyBorder="1"/>
    <xf numFmtId="0" fontId="34" fillId="0" borderId="14" xfId="12" applyFont="1" applyBorder="1" applyAlignment="1" applyProtection="1">
      <alignment wrapText="1"/>
      <protection locked="0"/>
    </xf>
    <xf numFmtId="0" fontId="34" fillId="0" borderId="44" xfId="12" applyFont="1" applyBorder="1" applyAlignment="1" applyProtection="1">
      <alignment wrapText="1"/>
      <protection locked="0"/>
    </xf>
    <xf numFmtId="0" fontId="34" fillId="0" borderId="15" xfId="12" applyFont="1" applyBorder="1" applyAlignment="1" applyProtection="1">
      <alignment wrapText="1"/>
      <protection locked="0"/>
    </xf>
    <xf numFmtId="0" fontId="34" fillId="0" borderId="43" xfId="11" applyFont="1" applyBorder="1" applyAlignment="1" applyProtection="1">
      <alignment wrapText="1"/>
      <protection locked="0"/>
    </xf>
    <xf numFmtId="0" fontId="34" fillId="0" borderId="44" xfId="11" applyFont="1" applyBorder="1" applyAlignment="1" applyProtection="1">
      <alignment horizontal="center" wrapText="1"/>
      <protection locked="0"/>
    </xf>
    <xf numFmtId="0" fontId="34" fillId="0" borderId="15" xfId="11" applyFont="1" applyBorder="1" applyAlignment="1" applyProtection="1">
      <alignment horizontal="center" wrapText="1"/>
      <protection locked="0"/>
    </xf>
    <xf numFmtId="0" fontId="47" fillId="0" borderId="38" xfId="11" applyFont="1" applyBorder="1" applyAlignment="1">
      <alignment wrapText="1"/>
    </xf>
    <xf numFmtId="0" fontId="47" fillId="0" borderId="0" xfId="11" applyFont="1" applyAlignment="1">
      <alignment wrapText="1"/>
    </xf>
    <xf numFmtId="0" fontId="47" fillId="0" borderId="0" xfId="11" applyFont="1" applyAlignment="1">
      <alignment horizontal="center" wrapText="1"/>
    </xf>
    <xf numFmtId="0" fontId="40" fillId="7" borderId="41" xfId="11" applyFont="1" applyFill="1" applyBorder="1"/>
    <xf numFmtId="0" fontId="47" fillId="0" borderId="0" xfId="11" applyFont="1" applyAlignment="1">
      <alignment vertical="top" wrapText="1"/>
    </xf>
    <xf numFmtId="0" fontId="4" fillId="7" borderId="0" xfId="11" applyFill="1" applyAlignment="1">
      <alignment vertical="center" wrapText="1"/>
    </xf>
    <xf numFmtId="0" fontId="4" fillId="7" borderId="41" xfId="11" applyFill="1" applyBorder="1" applyAlignment="1">
      <alignment horizontal="right" vertical="center" wrapText="1"/>
    </xf>
    <xf numFmtId="0" fontId="4" fillId="7" borderId="0" xfId="11" applyFill="1" applyAlignment="1" applyProtection="1">
      <alignment vertical="center" wrapText="1"/>
      <protection locked="0" hidden="1"/>
    </xf>
    <xf numFmtId="0" fontId="52" fillId="7" borderId="35" xfId="11" applyFont="1" applyFill="1" applyBorder="1" applyAlignment="1">
      <alignment wrapText="1"/>
    </xf>
    <xf numFmtId="3" fontId="28" fillId="13" borderId="7" xfId="8" applyNumberFormat="1" applyFont="1" applyFill="1" applyBorder="1" applyAlignment="1">
      <alignment horizontal="right"/>
    </xf>
    <xf numFmtId="165" fontId="18" fillId="10" borderId="21" xfId="8" applyNumberFormat="1" applyFont="1" applyFill="1" applyBorder="1" applyAlignment="1">
      <alignment horizontal="right"/>
    </xf>
    <xf numFmtId="9" fontId="18" fillId="10" borderId="20" xfId="8" applyNumberFormat="1" applyFont="1" applyFill="1" applyBorder="1" applyAlignment="1">
      <alignment horizontal="right"/>
    </xf>
    <xf numFmtId="170" fontId="18" fillId="10" borderId="20" xfId="8" applyNumberFormat="1" applyFont="1" applyFill="1" applyBorder="1" applyAlignment="1">
      <alignment horizontal="right"/>
    </xf>
    <xf numFmtId="0" fontId="22" fillId="6" borderId="16" xfId="8" applyFill="1" applyBorder="1"/>
    <xf numFmtId="0" fontId="22" fillId="6" borderId="18" xfId="8" applyFill="1" applyBorder="1"/>
    <xf numFmtId="0" fontId="22" fillId="6" borderId="22" xfId="8" applyFill="1" applyBorder="1" applyAlignment="1">
      <alignment horizontal="center" vertical="center" textRotation="90" wrapText="1"/>
    </xf>
    <xf numFmtId="0" fontId="22" fillId="7" borderId="25" xfId="8" applyFill="1" applyBorder="1" applyAlignment="1">
      <alignment horizontal="center"/>
    </xf>
    <xf numFmtId="0" fontId="22" fillId="7" borderId="3" xfId="8" applyFill="1" applyBorder="1" applyAlignment="1">
      <alignment horizontal="center"/>
    </xf>
    <xf numFmtId="0" fontId="22" fillId="7" borderId="3" xfId="8" applyFill="1" applyBorder="1"/>
    <xf numFmtId="0" fontId="22" fillId="6" borderId="25" xfId="8" applyFill="1" applyBorder="1" applyAlignment="1">
      <alignment horizontal="center"/>
    </xf>
    <xf numFmtId="0" fontId="22" fillId="6" borderId="3" xfId="8" applyFill="1" applyBorder="1" applyAlignment="1">
      <alignment horizontal="center"/>
    </xf>
    <xf numFmtId="0" fontId="22" fillId="6" borderId="3" xfId="8" applyFill="1" applyBorder="1" applyAlignment="1">
      <alignment horizontal="right"/>
    </xf>
    <xf numFmtId="0" fontId="22" fillId="6" borderId="3" xfId="8" applyFill="1" applyBorder="1" applyAlignment="1">
      <alignment horizontal="right" vertical="center"/>
    </xf>
    <xf numFmtId="0" fontId="22" fillId="6" borderId="26" xfId="8" applyFill="1" applyBorder="1" applyAlignment="1">
      <alignment horizontal="center"/>
    </xf>
    <xf numFmtId="0" fontId="22" fillId="6" borderId="10" xfId="8" applyFill="1" applyBorder="1" applyAlignment="1">
      <alignment horizontal="center"/>
    </xf>
    <xf numFmtId="0" fontId="22" fillId="6" borderId="10" xfId="8" applyFill="1" applyBorder="1" applyAlignment="1">
      <alignment horizontal="right" vertical="center"/>
    </xf>
    <xf numFmtId="0" fontId="14" fillId="6" borderId="24" xfId="8" applyFont="1" applyFill="1" applyBorder="1" applyAlignment="1">
      <alignment horizontal="center"/>
    </xf>
    <xf numFmtId="0" fontId="14" fillId="6" borderId="27" xfId="8" applyFont="1" applyFill="1" applyBorder="1" applyAlignment="1">
      <alignment horizontal="center"/>
    </xf>
    <xf numFmtId="0" fontId="14" fillId="6" borderId="28" xfId="8" applyFont="1" applyFill="1" applyBorder="1" applyAlignment="1">
      <alignment horizontal="right" vertical="center"/>
    </xf>
    <xf numFmtId="9" fontId="0" fillId="6" borderId="3" xfId="10" applyFont="1" applyFill="1" applyBorder="1" applyAlignment="1" applyProtection="1">
      <alignment horizontal="center"/>
    </xf>
    <xf numFmtId="9" fontId="0" fillId="6" borderId="20" xfId="10" applyFont="1" applyFill="1" applyBorder="1" applyAlignment="1" applyProtection="1">
      <alignment horizontal="center"/>
    </xf>
    <xf numFmtId="168" fontId="0" fillId="6" borderId="10" xfId="10" applyNumberFormat="1" applyFont="1" applyFill="1" applyBorder="1" applyAlignment="1" applyProtection="1">
      <alignment horizontal="center"/>
    </xf>
    <xf numFmtId="168" fontId="0" fillId="6" borderId="23" xfId="10" applyNumberFormat="1" applyFont="1" applyFill="1" applyBorder="1" applyAlignment="1" applyProtection="1">
      <alignment horizontal="center"/>
    </xf>
    <xf numFmtId="9" fontId="14" fillId="6" borderId="27" xfId="8" applyNumberFormat="1" applyFont="1" applyFill="1" applyBorder="1" applyAlignment="1">
      <alignment horizontal="center"/>
    </xf>
    <xf numFmtId="9" fontId="14" fillId="6" borderId="37" xfId="8" applyNumberFormat="1" applyFont="1" applyFill="1" applyBorder="1" applyAlignment="1">
      <alignment horizontal="center"/>
    </xf>
    <xf numFmtId="0" fontId="17" fillId="6" borderId="30" xfId="8" applyFont="1" applyFill="1" applyBorder="1"/>
    <xf numFmtId="0" fontId="37" fillId="6" borderId="30" xfId="8" applyFont="1" applyFill="1" applyBorder="1" applyAlignment="1">
      <alignment horizontal="left"/>
    </xf>
    <xf numFmtId="0" fontId="17" fillId="6" borderId="3" xfId="8" applyFont="1" applyFill="1" applyBorder="1"/>
    <xf numFmtId="0" fontId="37" fillId="6" borderId="4" xfId="8" applyFont="1" applyFill="1" applyBorder="1" applyAlignment="1">
      <alignment horizontal="left"/>
    </xf>
    <xf numFmtId="0" fontId="17" fillId="6" borderId="3" xfId="8" applyFont="1" applyFill="1" applyBorder="1" applyAlignment="1">
      <alignment horizontal="left"/>
    </xf>
    <xf numFmtId="0" fontId="17" fillId="6" borderId="10" xfId="8" applyFont="1" applyFill="1" applyBorder="1"/>
    <xf numFmtId="0" fontId="17" fillId="6" borderId="10" xfId="8" applyFont="1" applyFill="1" applyBorder="1" applyAlignment="1">
      <alignment horizontal="left"/>
    </xf>
    <xf numFmtId="0" fontId="17" fillId="6" borderId="14" xfId="8" applyFont="1" applyFill="1" applyBorder="1"/>
    <xf numFmtId="0" fontId="17" fillId="6" borderId="15" xfId="8" applyFont="1" applyFill="1" applyBorder="1" applyAlignment="1">
      <alignment horizontal="right"/>
    </xf>
    <xf numFmtId="14" fontId="34" fillId="14" borderId="4" xfId="12" applyNumberFormat="1" applyFont="1" applyFill="1" applyBorder="1" applyAlignment="1">
      <alignment horizontal="left" vertical="center" wrapText="1"/>
    </xf>
    <xf numFmtId="14" fontId="34" fillId="14" borderId="3" xfId="11" applyNumberFormat="1" applyFont="1" applyFill="1" applyBorder="1" applyAlignment="1">
      <alignment horizontal="left" vertical="center" wrapText="1"/>
    </xf>
    <xf numFmtId="0" fontId="34" fillId="14" borderId="6" xfId="11" applyFont="1" applyFill="1" applyBorder="1" applyAlignment="1">
      <alignment horizontal="center" vertical="center" wrapText="1"/>
    </xf>
    <xf numFmtId="0" fontId="34" fillId="14" borderId="5" xfId="11" applyFont="1" applyFill="1" applyBorder="1" applyAlignment="1">
      <alignment horizontal="center" vertical="center" wrapText="1"/>
    </xf>
    <xf numFmtId="0" fontId="34" fillId="14" borderId="3" xfId="11" applyFont="1" applyFill="1" applyBorder="1" applyAlignment="1">
      <alignment vertical="center" wrapText="1"/>
    </xf>
    <xf numFmtId="0" fontId="40" fillId="7" borderId="35" xfId="11" applyFont="1" applyFill="1" applyBorder="1" applyAlignment="1">
      <alignment wrapText="1"/>
    </xf>
    <xf numFmtId="0" fontId="31" fillId="0" borderId="3" xfId="11" applyFont="1" applyBorder="1" applyAlignment="1">
      <alignment vertical="center" wrapText="1"/>
    </xf>
    <xf numFmtId="0" fontId="31" fillId="0" borderId="20" xfId="11" applyFont="1" applyBorder="1" applyAlignment="1">
      <alignment vertical="center" wrapText="1"/>
    </xf>
    <xf numFmtId="0" fontId="34" fillId="0" borderId="3" xfId="11" applyFont="1" applyBorder="1" applyAlignment="1" applyProtection="1">
      <alignment vertical="top" wrapText="1"/>
      <protection locked="0"/>
    </xf>
    <xf numFmtId="0" fontId="34" fillId="0" borderId="44" xfId="11" applyFont="1" applyBorder="1" applyAlignment="1" applyProtection="1">
      <alignment vertical="top" wrapText="1"/>
      <protection locked="0"/>
    </xf>
    <xf numFmtId="0" fontId="15" fillId="6" borderId="29" xfId="0" applyFont="1" applyFill="1" applyBorder="1" applyAlignment="1">
      <alignment vertical="center"/>
    </xf>
    <xf numFmtId="0" fontId="0" fillId="6" borderId="30" xfId="0" applyFill="1" applyBorder="1"/>
    <xf numFmtId="0" fontId="17" fillId="6" borderId="30" xfId="0" applyFont="1" applyFill="1" applyBorder="1" applyProtection="1">
      <protection hidden="1"/>
    </xf>
    <xf numFmtId="0" fontId="16" fillId="6" borderId="30" xfId="0" applyFont="1" applyFill="1" applyBorder="1" applyAlignment="1" applyProtection="1">
      <alignment horizontal="right"/>
      <protection hidden="1"/>
    </xf>
    <xf numFmtId="0" fontId="16" fillId="12" borderId="19" xfId="0" applyFont="1" applyFill="1" applyBorder="1" applyAlignment="1" applyProtection="1">
      <alignment horizontal="right"/>
      <protection locked="0"/>
    </xf>
    <xf numFmtId="0" fontId="0" fillId="6" borderId="25" xfId="0" applyFill="1" applyBorder="1"/>
    <xf numFmtId="0" fontId="0" fillId="6" borderId="3" xfId="0" applyFill="1" applyBorder="1"/>
    <xf numFmtId="0" fontId="17" fillId="6" borderId="3" xfId="0" applyFont="1" applyFill="1" applyBorder="1" applyProtection="1">
      <protection hidden="1"/>
    </xf>
    <xf numFmtId="0" fontId="16" fillId="6" borderId="4" xfId="0" applyFont="1" applyFill="1" applyBorder="1" applyAlignment="1" applyProtection="1">
      <alignment horizontal="right"/>
      <protection hidden="1"/>
    </xf>
    <xf numFmtId="3" fontId="28" fillId="13" borderId="7" xfId="0" applyNumberFormat="1" applyFont="1" applyFill="1" applyBorder="1" applyAlignment="1" applyProtection="1">
      <alignment horizontal="right"/>
      <protection hidden="1"/>
    </xf>
    <xf numFmtId="0" fontId="18" fillId="6" borderId="3" xfId="0" applyFont="1" applyFill="1" applyBorder="1" applyAlignment="1" applyProtection="1">
      <alignment horizontal="right"/>
      <protection hidden="1"/>
    </xf>
    <xf numFmtId="165" fontId="18" fillId="10" borderId="21" xfId="0" applyNumberFormat="1" applyFont="1" applyFill="1" applyBorder="1" applyAlignment="1" applyProtection="1">
      <alignment horizontal="right"/>
      <protection locked="0"/>
    </xf>
    <xf numFmtId="170" fontId="18" fillId="12" borderId="20" xfId="0" applyNumberFormat="1" applyFont="1" applyFill="1" applyBorder="1" applyAlignment="1" applyProtection="1">
      <alignment horizontal="right"/>
      <protection locked="0"/>
    </xf>
    <xf numFmtId="9" fontId="18" fillId="10" borderId="20" xfId="0" applyNumberFormat="1" applyFont="1" applyFill="1" applyBorder="1" applyAlignment="1" applyProtection="1">
      <alignment horizontal="right"/>
      <protection locked="0"/>
    </xf>
    <xf numFmtId="0" fontId="17" fillId="6" borderId="10" xfId="0" applyFont="1" applyFill="1" applyBorder="1" applyProtection="1">
      <protection hidden="1"/>
    </xf>
    <xf numFmtId="0" fontId="18" fillId="6" borderId="10" xfId="0" applyFont="1" applyFill="1" applyBorder="1" applyAlignment="1" applyProtection="1">
      <alignment horizontal="right"/>
      <protection hidden="1"/>
    </xf>
    <xf numFmtId="170" fontId="18" fillId="10" borderId="20" xfId="0" applyNumberFormat="1" applyFont="1" applyFill="1" applyBorder="1" applyAlignment="1" applyProtection="1">
      <alignment horizontal="right"/>
      <protection locked="0"/>
    </xf>
    <xf numFmtId="9" fontId="18" fillId="12" borderId="33" xfId="0" applyNumberFormat="1" applyFont="1" applyFill="1" applyBorder="1" applyAlignment="1" applyProtection="1">
      <alignment horizontal="right"/>
      <protection locked="0"/>
    </xf>
    <xf numFmtId="0" fontId="18" fillId="6" borderId="14" xfId="0" applyFont="1" applyFill="1" applyBorder="1" applyProtection="1">
      <protection hidden="1"/>
    </xf>
    <xf numFmtId="0" fontId="18" fillId="6" borderId="15" xfId="0" applyFont="1" applyFill="1" applyBorder="1" applyAlignment="1" applyProtection="1">
      <alignment horizontal="right"/>
      <protection hidden="1"/>
    </xf>
    <xf numFmtId="170" fontId="18" fillId="12" borderId="36" xfId="0" applyNumberFormat="1" applyFont="1" applyFill="1" applyBorder="1" applyAlignment="1" applyProtection="1">
      <alignment horizontal="right"/>
      <protection locked="0"/>
    </xf>
    <xf numFmtId="0" fontId="26" fillId="11" borderId="4" xfId="0" applyFont="1" applyFill="1" applyBorder="1" applyAlignment="1" applyProtection="1">
      <alignment horizontal="center"/>
      <protection locked="0"/>
    </xf>
    <xf numFmtId="0" fontId="26" fillId="11" borderId="6" xfId="0" applyFont="1" applyFill="1" applyBorder="1" applyAlignment="1" applyProtection="1">
      <alignment horizontal="center"/>
      <protection locked="0"/>
    </xf>
    <xf numFmtId="0" fontId="26" fillId="11" borderId="5" xfId="0" applyFont="1" applyFill="1" applyBorder="1" applyAlignment="1" applyProtection="1">
      <alignment horizontal="center"/>
      <protection locked="0"/>
    </xf>
    <xf numFmtId="0" fontId="26" fillId="11" borderId="4" xfId="8" applyFont="1" applyFill="1" applyBorder="1" applyAlignment="1" applyProtection="1">
      <alignment horizontal="center"/>
      <protection locked="0"/>
    </xf>
    <xf numFmtId="0" fontId="26" fillId="11" borderId="6" xfId="8" applyFont="1" applyFill="1" applyBorder="1" applyAlignment="1" applyProtection="1">
      <alignment horizontal="center"/>
      <protection locked="0"/>
    </xf>
    <xf numFmtId="0" fontId="26" fillId="11" borderId="5" xfId="8" applyFont="1" applyFill="1" applyBorder="1" applyAlignment="1" applyProtection="1">
      <alignment horizontal="center"/>
      <protection locked="0"/>
    </xf>
    <xf numFmtId="14" fontId="26" fillId="11" borderId="4" xfId="8" applyNumberFormat="1" applyFont="1" applyFill="1" applyBorder="1" applyAlignment="1" applyProtection="1">
      <alignment horizontal="center"/>
      <protection locked="0"/>
    </xf>
    <xf numFmtId="14" fontId="26" fillId="11" borderId="6" xfId="8" applyNumberFormat="1" applyFont="1" applyFill="1" applyBorder="1" applyAlignment="1" applyProtection="1">
      <alignment horizontal="center"/>
      <protection locked="0"/>
    </xf>
    <xf numFmtId="14" fontId="26" fillId="11" borderId="5" xfId="8" applyNumberFormat="1" applyFont="1" applyFill="1" applyBorder="1" applyAlignment="1" applyProtection="1">
      <alignment horizontal="center"/>
      <protection locked="0"/>
    </xf>
    <xf numFmtId="0" fontId="15" fillId="11" borderId="31" xfId="8" applyFont="1" applyFill="1" applyBorder="1" applyAlignment="1" applyProtection="1">
      <alignment horizontal="center" vertical="center" wrapText="1"/>
      <protection locked="0"/>
    </xf>
    <xf numFmtId="0" fontId="15" fillId="11" borderId="8" xfId="8" applyFont="1" applyFill="1" applyBorder="1" applyAlignment="1" applyProtection="1">
      <alignment horizontal="center" vertical="center" wrapText="1"/>
      <protection locked="0"/>
    </xf>
    <xf numFmtId="0" fontId="15" fillId="11" borderId="32" xfId="8" applyFont="1" applyFill="1" applyBorder="1" applyAlignment="1" applyProtection="1">
      <alignment horizontal="center" vertical="center" wrapText="1"/>
      <protection locked="0"/>
    </xf>
    <xf numFmtId="0" fontId="15" fillId="11" borderId="0" xfId="8" applyFont="1" applyFill="1" applyAlignment="1" applyProtection="1">
      <alignment horizontal="center" vertical="center" wrapText="1"/>
      <protection locked="0"/>
    </xf>
    <xf numFmtId="0" fontId="15" fillId="11" borderId="34" xfId="8" applyFont="1" applyFill="1" applyBorder="1" applyAlignment="1" applyProtection="1">
      <alignment horizontal="center" vertical="center" wrapText="1"/>
      <protection locked="0"/>
    </xf>
    <xf numFmtId="0" fontId="15" fillId="11" borderId="35" xfId="8" applyFont="1" applyFill="1" applyBorder="1" applyAlignment="1" applyProtection="1">
      <alignment horizontal="center" vertical="center" wrapText="1"/>
      <protection locked="0"/>
    </xf>
    <xf numFmtId="0" fontId="17" fillId="6" borderId="12" xfId="8" applyFont="1" applyFill="1" applyBorder="1" applyAlignment="1">
      <alignment horizontal="right"/>
    </xf>
    <xf numFmtId="0" fontId="17" fillId="6" borderId="13" xfId="8" applyFont="1" applyFill="1" applyBorder="1" applyAlignment="1">
      <alignment horizontal="right"/>
    </xf>
    <xf numFmtId="0" fontId="22" fillId="6" borderId="4" xfId="8" applyFill="1" applyBorder="1" applyAlignment="1">
      <alignment horizontal="center"/>
    </xf>
    <xf numFmtId="0" fontId="22" fillId="6" borderId="6" xfId="8" applyFill="1" applyBorder="1" applyAlignment="1">
      <alignment horizontal="center"/>
    </xf>
    <xf numFmtId="0" fontId="22" fillId="6" borderId="5" xfId="8" applyFill="1" applyBorder="1" applyAlignment="1">
      <alignment horizontal="center"/>
    </xf>
    <xf numFmtId="14" fontId="22" fillId="6" borderId="4" xfId="8" applyNumberFormat="1" applyFill="1" applyBorder="1" applyAlignment="1">
      <alignment horizontal="center"/>
    </xf>
    <xf numFmtId="14" fontId="22" fillId="6" borderId="6" xfId="8" applyNumberFormat="1" applyFill="1" applyBorder="1" applyAlignment="1">
      <alignment horizontal="center"/>
    </xf>
    <xf numFmtId="14" fontId="22" fillId="6" borderId="5" xfId="8" applyNumberFormat="1" applyFill="1" applyBorder="1" applyAlignment="1">
      <alignment horizontal="center"/>
    </xf>
    <xf numFmtId="0" fontId="26" fillId="7" borderId="101" xfId="8" applyFont="1" applyFill="1" applyBorder="1" applyAlignment="1">
      <alignment horizontal="left"/>
    </xf>
    <xf numFmtId="0" fontId="26" fillId="7" borderId="102" xfId="8" applyFont="1" applyFill="1" applyBorder="1" applyAlignment="1">
      <alignment horizontal="left"/>
    </xf>
    <xf numFmtId="0" fontId="26" fillId="7" borderId="103" xfId="8" applyFont="1" applyFill="1" applyBorder="1" applyAlignment="1">
      <alignment horizontal="left"/>
    </xf>
    <xf numFmtId="0" fontId="22" fillId="7" borderId="24" xfId="8" applyFill="1" applyBorder="1" applyAlignment="1">
      <alignment horizontal="left" wrapText="1"/>
    </xf>
    <xf numFmtId="0" fontId="22" fillId="7" borderId="69" xfId="8" applyFill="1" applyBorder="1" applyAlignment="1">
      <alignment horizontal="left" wrapText="1"/>
    </xf>
    <xf numFmtId="0" fontId="22" fillId="7" borderId="95" xfId="8" applyFill="1" applyBorder="1" applyAlignment="1">
      <alignment horizontal="left" wrapText="1"/>
    </xf>
    <xf numFmtId="0" fontId="15" fillId="11" borderId="31" xfId="0" applyFont="1" applyFill="1" applyBorder="1" applyAlignment="1" applyProtection="1">
      <alignment horizontal="center" vertical="center" wrapText="1"/>
      <protection locked="0"/>
    </xf>
    <xf numFmtId="0" fontId="15" fillId="11" borderId="8" xfId="0" applyFont="1" applyFill="1" applyBorder="1" applyAlignment="1" applyProtection="1">
      <alignment horizontal="center" vertical="center" wrapText="1"/>
      <protection locked="0"/>
    </xf>
    <xf numFmtId="0" fontId="15" fillId="11" borderId="32" xfId="0" applyFont="1" applyFill="1" applyBorder="1" applyAlignment="1" applyProtection="1">
      <alignment horizontal="center" vertical="center" wrapText="1"/>
      <protection locked="0"/>
    </xf>
    <xf numFmtId="0" fontId="15" fillId="11" borderId="0" xfId="0" applyFont="1" applyFill="1" applyAlignment="1" applyProtection="1">
      <alignment horizontal="center" vertical="center" wrapText="1"/>
      <protection locked="0"/>
    </xf>
    <xf numFmtId="0" fontId="15" fillId="11" borderId="34" xfId="0" applyFont="1" applyFill="1" applyBorder="1" applyAlignment="1" applyProtection="1">
      <alignment horizontal="center" vertical="center" wrapText="1"/>
      <protection locked="0"/>
    </xf>
    <xf numFmtId="0" fontId="15" fillId="11" borderId="35" xfId="0" applyFont="1" applyFill="1" applyBorder="1" applyAlignment="1" applyProtection="1">
      <alignment horizontal="center" vertical="center" wrapText="1"/>
      <protection locked="0"/>
    </xf>
    <xf numFmtId="0" fontId="17" fillId="6" borderId="12" xfId="0" applyFont="1" applyFill="1" applyBorder="1" applyAlignment="1" applyProtection="1">
      <alignment horizontal="left"/>
      <protection hidden="1"/>
    </xf>
    <xf numFmtId="0" fontId="17" fillId="6" borderId="13" xfId="0" applyFont="1" applyFill="1" applyBorder="1" applyAlignment="1" applyProtection="1">
      <alignment horizontal="left"/>
      <protection hidden="1"/>
    </xf>
    <xf numFmtId="0" fontId="52" fillId="7" borderId="53" xfId="11" applyFont="1" applyFill="1" applyBorder="1" applyAlignment="1">
      <alignment wrapText="1"/>
    </xf>
    <xf numFmtId="0" fontId="52" fillId="7" borderId="9" xfId="11" applyFont="1" applyFill="1" applyBorder="1" applyAlignment="1">
      <alignment wrapText="1"/>
    </xf>
    <xf numFmtId="0" fontId="52" fillId="7" borderId="54" xfId="11" applyFont="1" applyFill="1" applyBorder="1" applyAlignment="1">
      <alignment wrapText="1"/>
    </xf>
    <xf numFmtId="0" fontId="42" fillId="15" borderId="16" xfId="11" applyFont="1" applyFill="1" applyBorder="1" applyAlignment="1">
      <alignment horizontal="center" vertical="center" wrapText="1"/>
    </xf>
    <xf numFmtId="0" fontId="41" fillId="15" borderId="38" xfId="11" applyFont="1" applyFill="1" applyBorder="1" applyAlignment="1">
      <alignment horizontal="center" vertical="center" wrapText="1"/>
    </xf>
    <xf numFmtId="0" fontId="41" fillId="15" borderId="39" xfId="11" applyFont="1" applyFill="1" applyBorder="1" applyAlignment="1">
      <alignment horizontal="center" vertical="center" wrapText="1"/>
    </xf>
    <xf numFmtId="0" fontId="40" fillId="7" borderId="0" xfId="11" applyFont="1" applyFill="1" applyAlignment="1">
      <alignment wrapText="1"/>
    </xf>
    <xf numFmtId="0" fontId="34" fillId="14" borderId="4" xfId="11" applyFont="1" applyFill="1" applyBorder="1" applyAlignment="1">
      <alignment horizontal="center" vertical="center" wrapText="1"/>
    </xf>
    <xf numFmtId="0" fontId="4" fillId="0" borderId="6" xfId="11" applyBorder="1" applyAlignment="1">
      <alignment horizontal="center" vertical="center" wrapText="1"/>
    </xf>
    <xf numFmtId="0" fontId="44" fillId="17" borderId="4" xfId="7" applyFont="1" applyFill="1" applyBorder="1" applyAlignment="1">
      <alignment horizontal="center" vertical="center" wrapText="1"/>
    </xf>
    <xf numFmtId="0" fontId="44" fillId="17" borderId="6" xfId="7" applyFont="1" applyFill="1" applyBorder="1" applyAlignment="1">
      <alignment horizontal="center" vertical="center" wrapText="1"/>
    </xf>
    <xf numFmtId="0" fontId="44" fillId="17" borderId="5" xfId="7" applyFont="1" applyFill="1" applyBorder="1" applyAlignment="1">
      <alignment horizontal="center" vertical="center" wrapText="1"/>
    </xf>
    <xf numFmtId="0" fontId="48" fillId="14" borderId="46" xfId="11" applyFont="1" applyFill="1" applyBorder="1" applyAlignment="1">
      <alignment vertical="center" wrapText="1"/>
    </xf>
    <xf numFmtId="0" fontId="48" fillId="14" borderId="47" xfId="11" applyFont="1" applyFill="1" applyBorder="1" applyAlignment="1">
      <alignment vertical="center" wrapText="1"/>
    </xf>
    <xf numFmtId="0" fontId="48" fillId="14" borderId="48" xfId="11" applyFont="1" applyFill="1" applyBorder="1" applyAlignment="1">
      <alignment vertical="center" wrapText="1"/>
    </xf>
    <xf numFmtId="0" fontId="49" fillId="7" borderId="55" xfId="11" applyFont="1" applyFill="1" applyBorder="1" applyAlignment="1">
      <alignment wrapText="1"/>
    </xf>
    <xf numFmtId="0" fontId="4" fillId="0" borderId="3" xfId="11" applyBorder="1" applyAlignment="1">
      <alignment wrapText="1"/>
    </xf>
    <xf numFmtId="0" fontId="4" fillId="0" borderId="56" xfId="11" applyBorder="1" applyAlignment="1">
      <alignment wrapText="1"/>
    </xf>
    <xf numFmtId="0" fontId="33" fillId="0" borderId="3" xfId="11" applyFont="1" applyBorder="1" applyAlignment="1">
      <alignment vertical="center" wrapText="1"/>
    </xf>
    <xf numFmtId="0" fontId="33" fillId="0" borderId="56" xfId="11" applyFont="1" applyBorder="1" applyAlignment="1">
      <alignment vertical="center" wrapText="1"/>
    </xf>
    <xf numFmtId="0" fontId="33" fillId="0" borderId="4" xfId="11" applyFont="1" applyBorder="1" applyAlignment="1">
      <alignment vertical="center" wrapText="1"/>
    </xf>
    <xf numFmtId="0" fontId="33" fillId="0" borderId="6" xfId="11" applyFont="1" applyBorder="1" applyAlignment="1">
      <alignment vertical="center" wrapText="1"/>
    </xf>
    <xf numFmtId="0" fontId="33" fillId="0" borderId="52" xfId="11" applyFont="1" applyBorder="1" applyAlignment="1">
      <alignment vertical="center" wrapText="1"/>
    </xf>
    <xf numFmtId="0" fontId="31" fillId="0" borderId="66" xfId="11" applyFont="1" applyBorder="1" applyAlignment="1">
      <alignment vertical="center" wrapText="1"/>
    </xf>
    <xf numFmtId="0" fontId="31" fillId="0" borderId="5" xfId="11" applyFont="1" applyBorder="1" applyAlignment="1">
      <alignment vertical="center" wrapText="1"/>
    </xf>
    <xf numFmtId="0" fontId="31" fillId="0" borderId="4" xfId="11" applyFont="1" applyBorder="1" applyAlignment="1">
      <alignment vertical="center" wrapText="1"/>
    </xf>
    <xf numFmtId="3" fontId="53" fillId="0" borderId="55" xfId="11" applyNumberFormat="1" applyFont="1" applyBorder="1" applyAlignment="1" applyProtection="1">
      <alignment horizontal="center" vertical="center" wrapText="1"/>
      <protection locked="0"/>
    </xf>
    <xf numFmtId="3" fontId="53" fillId="0" borderId="57" xfId="11" applyNumberFormat="1" applyFont="1" applyBorder="1" applyAlignment="1" applyProtection="1">
      <alignment horizontal="center" vertical="center" wrapText="1"/>
      <protection locked="0"/>
    </xf>
    <xf numFmtId="0" fontId="31" fillId="0" borderId="4" xfId="11" applyFont="1" applyBorder="1" applyAlignment="1">
      <alignment horizontal="left" vertical="center" wrapText="1"/>
    </xf>
    <xf numFmtId="0" fontId="31" fillId="0" borderId="6" xfId="11" applyFont="1" applyBorder="1" applyAlignment="1">
      <alignment horizontal="left" vertical="center" wrapText="1"/>
    </xf>
    <xf numFmtId="0" fontId="31" fillId="0" borderId="5" xfId="11" applyFont="1" applyBorder="1" applyAlignment="1">
      <alignment horizontal="left" vertical="center" wrapText="1"/>
    </xf>
    <xf numFmtId="0" fontId="4" fillId="0" borderId="4" xfId="11" applyBorder="1" applyAlignment="1">
      <alignment vertical="center" wrapText="1"/>
    </xf>
    <xf numFmtId="0" fontId="4" fillId="0" borderId="5" xfId="11" applyBorder="1" applyAlignment="1">
      <alignment vertical="center" wrapText="1"/>
    </xf>
    <xf numFmtId="0" fontId="34" fillId="7" borderId="62" xfId="11" applyFont="1" applyFill="1" applyBorder="1" applyAlignment="1" applyProtection="1">
      <alignment horizontal="left" vertical="top" wrapText="1"/>
      <protection locked="0"/>
    </xf>
    <xf numFmtId="0" fontId="34" fillId="7" borderId="45" xfId="11" applyFont="1" applyFill="1" applyBorder="1" applyAlignment="1" applyProtection="1">
      <alignment horizontal="left" vertical="top" wrapText="1"/>
      <protection locked="0"/>
    </xf>
    <xf numFmtId="0" fontId="34" fillId="7" borderId="63" xfId="11" applyFont="1" applyFill="1" applyBorder="1" applyAlignment="1" applyProtection="1">
      <alignment horizontal="left" vertical="top" wrapText="1"/>
      <protection locked="0"/>
    </xf>
    <xf numFmtId="0" fontId="48" fillId="14" borderId="12" xfId="11" applyFont="1" applyFill="1" applyBorder="1" applyAlignment="1">
      <alignment horizontal="left" vertical="center" wrapText="1"/>
    </xf>
    <xf numFmtId="0" fontId="48" fillId="14" borderId="65" xfId="11" applyFont="1" applyFill="1" applyBorder="1" applyAlignment="1">
      <alignment horizontal="left" vertical="center" wrapText="1"/>
    </xf>
    <xf numFmtId="0" fontId="48" fillId="14" borderId="13" xfId="11" applyFont="1" applyFill="1" applyBorder="1" applyAlignment="1">
      <alignment horizontal="left" vertical="center" wrapText="1"/>
    </xf>
    <xf numFmtId="0" fontId="49" fillId="7" borderId="66" xfId="11" applyFont="1" applyFill="1" applyBorder="1" applyAlignment="1">
      <alignment wrapText="1"/>
    </xf>
    <xf numFmtId="0" fontId="49" fillId="7" borderId="6" xfId="11" applyFont="1" applyFill="1" applyBorder="1" applyAlignment="1">
      <alignment wrapText="1"/>
    </xf>
    <xf numFmtId="0" fontId="49" fillId="7" borderId="33" xfId="11" applyFont="1" applyFill="1" applyBorder="1" applyAlignment="1">
      <alignment wrapText="1"/>
    </xf>
    <xf numFmtId="0" fontId="4" fillId="0" borderId="52" xfId="11" applyBorder="1" applyAlignment="1">
      <alignment vertical="center" wrapText="1"/>
    </xf>
    <xf numFmtId="0" fontId="15" fillId="0" borderId="4" xfId="11" applyFont="1" applyBorder="1" applyAlignment="1">
      <alignment horizontal="left" vertical="center" wrapText="1"/>
    </xf>
    <xf numFmtId="0" fontId="15" fillId="0" borderId="6" xfId="11" applyFont="1" applyBorder="1" applyAlignment="1">
      <alignment horizontal="left" vertical="center" wrapText="1"/>
    </xf>
    <xf numFmtId="0" fontId="15" fillId="0" borderId="52" xfId="11" applyFont="1" applyBorder="1" applyAlignment="1">
      <alignment horizontal="left" vertical="center" wrapText="1"/>
    </xf>
    <xf numFmtId="0" fontId="35" fillId="0" borderId="58" xfId="6" applyFont="1" applyBorder="1" applyAlignment="1">
      <alignment horizontal="left" vertical="center" wrapText="1"/>
    </xf>
    <xf numFmtId="0" fontId="35" fillId="0" borderId="6" xfId="6" applyFont="1" applyBorder="1" applyAlignment="1">
      <alignment horizontal="left" vertical="center" wrapText="1"/>
    </xf>
    <xf numFmtId="0" fontId="35" fillId="0" borderId="52" xfId="6" applyFont="1" applyBorder="1" applyAlignment="1">
      <alignment horizontal="left" vertical="center" wrapText="1"/>
    </xf>
    <xf numFmtId="0" fontId="88" fillId="0" borderId="66" xfId="11" applyFont="1" applyBorder="1" applyAlignment="1" applyProtection="1">
      <alignment vertical="top" wrapText="1"/>
      <protection locked="0"/>
    </xf>
    <xf numFmtId="0" fontId="34" fillId="0" borderId="5" xfId="11" applyFont="1" applyBorder="1" applyAlignment="1" applyProtection="1">
      <alignment vertical="top" wrapText="1"/>
      <protection locked="0"/>
    </xf>
    <xf numFmtId="0" fontId="34" fillId="0" borderId="4" xfId="11" applyFont="1" applyBorder="1" applyAlignment="1" applyProtection="1">
      <alignment vertical="top" wrapText="1"/>
      <protection locked="0"/>
    </xf>
    <xf numFmtId="0" fontId="34" fillId="0" borderId="66" xfId="11" applyFont="1" applyBorder="1" applyAlignment="1" applyProtection="1">
      <alignment vertical="top" wrapText="1"/>
      <protection locked="0"/>
    </xf>
    <xf numFmtId="0" fontId="4" fillId="0" borderId="5" xfId="11" applyBorder="1" applyAlignment="1" applyProtection="1">
      <alignment vertical="top" wrapText="1"/>
      <protection locked="0"/>
    </xf>
    <xf numFmtId="0" fontId="34" fillId="0" borderId="25" xfId="11" applyFont="1" applyBorder="1" applyAlignment="1" applyProtection="1">
      <alignment vertical="top" wrapText="1"/>
      <protection locked="0"/>
    </xf>
    <xf numFmtId="0" fontId="34" fillId="0" borderId="3" xfId="11" applyFont="1" applyBorder="1" applyAlignment="1" applyProtection="1">
      <alignment vertical="top" wrapText="1"/>
      <protection locked="0"/>
    </xf>
    <xf numFmtId="0" fontId="34" fillId="0" borderId="14" xfId="11" applyFont="1" applyBorder="1" applyAlignment="1" applyProtection="1">
      <alignment vertical="top" wrapText="1"/>
      <protection locked="0"/>
    </xf>
    <xf numFmtId="0" fontId="34" fillId="0" borderId="44" xfId="11" applyFont="1" applyBorder="1" applyAlignment="1" applyProtection="1">
      <alignment vertical="top" wrapText="1"/>
      <protection locked="0"/>
    </xf>
    <xf numFmtId="0" fontId="40" fillId="7" borderId="25" xfId="11" applyFont="1" applyFill="1" applyBorder="1" applyAlignment="1">
      <alignment wrapText="1"/>
    </xf>
    <xf numFmtId="0" fontId="40" fillId="7" borderId="3" xfId="11" applyFont="1" applyFill="1" applyBorder="1" applyAlignment="1">
      <alignment wrapText="1"/>
    </xf>
    <xf numFmtId="0" fontId="40" fillId="7" borderId="20" xfId="11" applyFont="1" applyFill="1" applyBorder="1" applyAlignment="1">
      <alignment wrapText="1"/>
    </xf>
    <xf numFmtId="0" fontId="31" fillId="0" borderId="10" xfId="11" applyFont="1" applyBorder="1" applyAlignment="1">
      <alignment horizontal="left" vertical="center" wrapText="1"/>
    </xf>
    <xf numFmtId="0" fontId="31" fillId="0" borderId="73" xfId="11" applyFont="1" applyBorder="1" applyAlignment="1">
      <alignment horizontal="left" vertical="center" wrapText="1"/>
    </xf>
    <xf numFmtId="14" fontId="34" fillId="16" borderId="89" xfId="11" applyNumberFormat="1" applyFont="1" applyFill="1" applyBorder="1" applyAlignment="1" applyProtection="1">
      <alignment horizontal="left" vertical="center" wrapText="1"/>
      <protection locked="0"/>
    </xf>
    <xf numFmtId="0" fontId="34" fillId="16" borderId="74" xfId="11" applyFont="1" applyFill="1" applyBorder="1" applyAlignment="1" applyProtection="1">
      <alignment vertical="center" wrapText="1"/>
      <protection locked="0"/>
    </xf>
    <xf numFmtId="0" fontId="4" fillId="0" borderId="65" xfId="11" applyBorder="1" applyAlignment="1">
      <alignment horizontal="left" vertical="center" wrapText="1"/>
    </xf>
    <xf numFmtId="0" fontId="4" fillId="0" borderId="76" xfId="11" applyBorder="1" applyAlignment="1">
      <alignment horizontal="left" vertical="center" wrapText="1"/>
    </xf>
    <xf numFmtId="0" fontId="56" fillId="18" borderId="77" xfId="11" applyFont="1" applyFill="1" applyBorder="1" applyAlignment="1" applyProtection="1">
      <alignment horizontal="left" vertical="center" wrapText="1"/>
      <protection locked="0"/>
    </xf>
    <xf numFmtId="0" fontId="57" fillId="18" borderId="13" xfId="11" applyFont="1" applyFill="1" applyBorder="1" applyAlignment="1" applyProtection="1">
      <alignment horizontal="left" vertical="center" wrapText="1"/>
      <protection locked="0"/>
    </xf>
    <xf numFmtId="0" fontId="45" fillId="14" borderId="65" xfId="11" applyFont="1" applyFill="1" applyBorder="1" applyAlignment="1">
      <alignment horizontal="left" vertical="center" wrapText="1"/>
    </xf>
    <xf numFmtId="0" fontId="45" fillId="14" borderId="13" xfId="11" applyFont="1" applyFill="1" applyBorder="1" applyAlignment="1">
      <alignment horizontal="left" vertical="center" wrapText="1"/>
    </xf>
    <xf numFmtId="3" fontId="34" fillId="0" borderId="108" xfId="11" applyNumberFormat="1" applyFont="1" applyBorder="1" applyAlignment="1" applyProtection="1">
      <alignment horizontal="left" vertical="top" wrapText="1"/>
      <protection locked="0"/>
    </xf>
    <xf numFmtId="3" fontId="34" fillId="0" borderId="109" xfId="11" applyNumberFormat="1" applyFont="1" applyBorder="1" applyAlignment="1" applyProtection="1">
      <alignment horizontal="left" vertical="top" wrapText="1"/>
      <protection locked="0"/>
    </xf>
    <xf numFmtId="3" fontId="34" fillId="0" borderId="110" xfId="11" applyNumberFormat="1" applyFont="1" applyBorder="1" applyAlignment="1" applyProtection="1">
      <alignment horizontal="left" vertical="top" wrapText="1"/>
      <protection locked="0"/>
    </xf>
    <xf numFmtId="0" fontId="40" fillId="7" borderId="66" xfId="11" applyFont="1" applyFill="1" applyBorder="1" applyAlignment="1">
      <alignment wrapText="1"/>
    </xf>
    <xf numFmtId="0" fontId="40" fillId="7" borderId="6" xfId="11" applyFont="1" applyFill="1" applyBorder="1" applyAlignment="1">
      <alignment wrapText="1"/>
    </xf>
    <xf numFmtId="0" fontId="40" fillId="7" borderId="33" xfId="11" applyFont="1" applyFill="1" applyBorder="1" applyAlignment="1">
      <alignment wrapText="1"/>
    </xf>
    <xf numFmtId="0" fontId="40" fillId="0" borderId="34" xfId="11" applyFont="1" applyBorder="1" applyAlignment="1">
      <alignment vertical="center" wrapText="1"/>
    </xf>
    <xf numFmtId="0" fontId="40" fillId="0" borderId="35" xfId="11" applyFont="1" applyBorder="1" applyAlignment="1">
      <alignment vertical="center" wrapText="1"/>
    </xf>
    <xf numFmtId="0" fontId="40" fillId="0" borderId="41" xfId="11" applyFont="1" applyBorder="1" applyAlignment="1">
      <alignment vertical="center" wrapText="1"/>
    </xf>
    <xf numFmtId="0" fontId="40" fillId="0" borderId="31" xfId="11" applyFont="1" applyBorder="1" applyAlignment="1">
      <alignment vertical="center" wrapText="1"/>
    </xf>
    <xf numFmtId="0" fontId="40" fillId="0" borderId="6" xfId="11" applyFont="1" applyBorder="1" applyAlignment="1">
      <alignment vertical="center" wrapText="1"/>
    </xf>
    <xf numFmtId="0" fontId="40" fillId="0" borderId="8" xfId="11" applyFont="1" applyBorder="1" applyAlignment="1">
      <alignment vertical="center" wrapText="1"/>
    </xf>
    <xf numFmtId="0" fontId="40" fillId="0" borderId="91" xfId="11" applyFont="1" applyBorder="1" applyAlignment="1">
      <alignment vertical="center" wrapText="1"/>
    </xf>
    <xf numFmtId="0" fontId="40" fillId="7" borderId="16" xfId="11" applyFont="1" applyFill="1" applyBorder="1" applyAlignment="1">
      <alignment vertical="center" wrapText="1"/>
    </xf>
    <xf numFmtId="0" fontId="4" fillId="0" borderId="38" xfId="11" applyBorder="1" applyAlignment="1">
      <alignment vertical="center" wrapText="1"/>
    </xf>
    <xf numFmtId="0" fontId="4" fillId="0" borderId="39" xfId="11" applyBorder="1" applyAlignment="1">
      <alignment vertical="center" wrapText="1"/>
    </xf>
    <xf numFmtId="0" fontId="40" fillId="0" borderId="69" xfId="11" applyFont="1" applyBorder="1" applyAlignment="1">
      <alignment horizontal="left" vertical="center" wrapText="1"/>
    </xf>
    <xf numFmtId="0" fontId="40" fillId="7" borderId="35" xfId="11" applyFont="1" applyFill="1" applyBorder="1" applyAlignment="1">
      <alignment wrapText="1"/>
    </xf>
    <xf numFmtId="0" fontId="49" fillId="0" borderId="3" xfId="11" applyFont="1" applyBorder="1" applyAlignment="1">
      <alignment horizontal="right" vertical="top" wrapText="1"/>
    </xf>
    <xf numFmtId="0" fontId="40" fillId="0" borderId="3" xfId="11" applyFont="1" applyBorder="1" applyAlignment="1">
      <alignment horizontal="right" vertical="top" wrapText="1"/>
    </xf>
    <xf numFmtId="0" fontId="34" fillId="0" borderId="3" xfId="11" applyFont="1" applyBorder="1" applyAlignment="1" applyProtection="1">
      <alignment wrapText="1"/>
      <protection locked="0"/>
    </xf>
    <xf numFmtId="0" fontId="34" fillId="0" borderId="20" xfId="11" applyFont="1" applyBorder="1" applyAlignment="1" applyProtection="1">
      <alignment wrapText="1"/>
      <protection locked="0"/>
    </xf>
    <xf numFmtId="0" fontId="40" fillId="7" borderId="66" xfId="11" applyFont="1" applyFill="1" applyBorder="1" applyAlignment="1">
      <alignment vertical="top" wrapText="1"/>
    </xf>
    <xf numFmtId="0" fontId="40" fillId="0" borderId="6" xfId="11" applyFont="1" applyBorder="1" applyAlignment="1">
      <alignment vertical="top" wrapText="1"/>
    </xf>
    <xf numFmtId="0" fontId="40" fillId="0" borderId="33" xfId="11" applyFont="1" applyBorder="1" applyAlignment="1">
      <alignment vertical="top" wrapText="1"/>
    </xf>
    <xf numFmtId="0" fontId="34" fillId="0" borderId="90" xfId="11" applyFont="1" applyBorder="1" applyAlignment="1" applyProtection="1">
      <alignment vertical="top" wrapText="1"/>
      <protection locked="0"/>
    </xf>
    <xf numFmtId="0" fontId="34" fillId="0" borderId="8" xfId="11" applyFont="1" applyBorder="1" applyAlignment="1" applyProtection="1">
      <alignment vertical="top" wrapText="1"/>
      <protection locked="0"/>
    </xf>
    <xf numFmtId="0" fontId="34" fillId="0" borderId="91" xfId="11" applyFont="1" applyBorder="1" applyAlignment="1" applyProtection="1">
      <alignment vertical="top" wrapText="1"/>
      <protection locked="0"/>
    </xf>
    <xf numFmtId="0" fontId="34" fillId="0" borderId="92" xfId="11" applyFont="1" applyBorder="1" applyAlignment="1" applyProtection="1">
      <alignment vertical="top" wrapText="1"/>
      <protection locked="0"/>
    </xf>
    <xf numFmtId="0" fontId="34" fillId="0" borderId="9" xfId="11" applyFont="1" applyBorder="1" applyAlignment="1" applyProtection="1">
      <alignment vertical="top" wrapText="1"/>
      <protection locked="0"/>
    </xf>
    <xf numFmtId="0" fontId="34" fillId="0" borderId="42" xfId="11" applyFont="1" applyBorder="1" applyAlignment="1" applyProtection="1">
      <alignment vertical="top" wrapText="1"/>
      <protection locked="0"/>
    </xf>
    <xf numFmtId="0" fontId="40" fillId="0" borderId="44" xfId="11" applyFont="1" applyBorder="1" applyAlignment="1">
      <alignment horizontal="right" vertical="top" wrapText="1"/>
    </xf>
    <xf numFmtId="0" fontId="34" fillId="0" borderId="44" xfId="11" applyFont="1" applyBorder="1" applyAlignment="1" applyProtection="1">
      <alignment wrapText="1"/>
      <protection locked="0"/>
    </xf>
    <xf numFmtId="0" fontId="34" fillId="0" borderId="15" xfId="11" applyFont="1" applyBorder="1" applyAlignment="1" applyProtection="1">
      <alignment wrapText="1"/>
      <protection locked="0"/>
    </xf>
    <xf numFmtId="0" fontId="40" fillId="7" borderId="38" xfId="11" applyFont="1" applyFill="1" applyBorder="1" applyAlignment="1">
      <alignment wrapText="1"/>
    </xf>
    <xf numFmtId="0" fontId="48" fillId="14" borderId="22" xfId="11" applyFont="1" applyFill="1" applyBorder="1" applyAlignment="1">
      <alignment horizontal="left" vertical="center" wrapText="1"/>
    </xf>
    <xf numFmtId="0" fontId="45" fillId="14" borderId="11" xfId="11" applyFont="1" applyFill="1" applyBorder="1" applyAlignment="1">
      <alignment horizontal="left" vertical="center" wrapText="1"/>
    </xf>
    <xf numFmtId="0" fontId="45" fillId="14" borderId="21" xfId="11" applyFont="1" applyFill="1" applyBorder="1" applyAlignment="1">
      <alignment horizontal="left" vertical="center" wrapText="1"/>
    </xf>
    <xf numFmtId="0" fontId="34" fillId="0" borderId="3" xfId="11" applyFont="1" applyBorder="1" applyAlignment="1" applyProtection="1">
      <alignment vertical="center" wrapText="1"/>
      <protection locked="0"/>
    </xf>
    <xf numFmtId="14" fontId="34" fillId="0" borderId="3" xfId="11" applyNumberFormat="1" applyFont="1" applyBorder="1" applyAlignment="1" applyProtection="1">
      <alignment vertical="center" wrapText="1"/>
      <protection locked="0"/>
    </xf>
    <xf numFmtId="0" fontId="34" fillId="0" borderId="20" xfId="11" applyFont="1" applyBorder="1" applyAlignment="1" applyProtection="1">
      <alignment vertical="center" wrapText="1"/>
      <protection locked="0"/>
    </xf>
    <xf numFmtId="0" fontId="4" fillId="0" borderId="6" xfId="11" applyBorder="1" applyAlignment="1">
      <alignment horizontal="left" vertical="center" wrapText="1"/>
    </xf>
    <xf numFmtId="0" fontId="4" fillId="0" borderId="5" xfId="11" applyBorder="1" applyAlignment="1">
      <alignment horizontal="left" vertical="center" wrapText="1"/>
    </xf>
    <xf numFmtId="0" fontId="4" fillId="0" borderId="33" xfId="11" applyBorder="1" applyAlignment="1">
      <alignment horizontal="left" vertical="center" wrapText="1"/>
    </xf>
    <xf numFmtId="0" fontId="48" fillId="14" borderId="29" xfId="11" applyFont="1" applyFill="1" applyBorder="1" applyAlignment="1">
      <alignment horizontal="left" vertical="center" wrapText="1"/>
    </xf>
    <xf numFmtId="0" fontId="45" fillId="14" borderId="30" xfId="11" applyFont="1" applyFill="1" applyBorder="1" applyAlignment="1">
      <alignment horizontal="left" vertical="center" wrapText="1"/>
    </xf>
    <xf numFmtId="0" fontId="45" fillId="14" borderId="94" xfId="11" applyFont="1" applyFill="1" applyBorder="1" applyAlignment="1">
      <alignment horizontal="left" vertical="center" wrapText="1"/>
    </xf>
    <xf numFmtId="0" fontId="31" fillId="0" borderId="3" xfId="11" applyFont="1" applyBorder="1" applyAlignment="1">
      <alignment vertical="center" wrapText="1"/>
    </xf>
    <xf numFmtId="0" fontId="4" fillId="0" borderId="3" xfId="11" applyBorder="1" applyAlignment="1">
      <alignment vertical="center" wrapText="1"/>
    </xf>
    <xf numFmtId="0" fontId="31" fillId="0" borderId="20" xfId="11" applyFont="1" applyBorder="1" applyAlignment="1">
      <alignment vertical="center" wrapText="1"/>
    </xf>
    <xf numFmtId="0" fontId="34" fillId="0" borderId="3" xfId="12" applyFont="1" applyBorder="1" applyAlignment="1" applyProtection="1">
      <alignment vertical="center" wrapText="1"/>
      <protection locked="0"/>
    </xf>
    <xf numFmtId="14" fontId="34" fillId="0" borderId="4" xfId="12" applyNumberFormat="1" applyFont="1" applyBorder="1" applyAlignment="1" applyProtection="1">
      <alignment horizontal="right" vertical="center" wrapText="1"/>
      <protection locked="0"/>
    </xf>
    <xf numFmtId="0" fontId="34" fillId="0" borderId="33" xfId="12" applyFont="1" applyBorder="1" applyAlignment="1" applyProtection="1">
      <alignment horizontal="right" vertical="center" wrapText="1"/>
      <protection locked="0"/>
    </xf>
    <xf numFmtId="0" fontId="3" fillId="0" borderId="0" xfId="11" applyFont="1" applyAlignment="1">
      <alignment vertical="top" wrapText="1"/>
    </xf>
    <xf numFmtId="0" fontId="4" fillId="0" borderId="0" xfId="11" applyAlignment="1">
      <alignment vertical="top" wrapText="1"/>
    </xf>
    <xf numFmtId="0" fontId="34" fillId="0" borderId="73" xfId="11" applyFont="1" applyBorder="1" applyAlignment="1" applyProtection="1">
      <alignment vertical="center" wrapText="1"/>
      <protection locked="0"/>
    </xf>
    <xf numFmtId="14" fontId="34" fillId="0" borderId="73" xfId="11" applyNumberFormat="1" applyFont="1" applyBorder="1" applyAlignment="1" applyProtection="1">
      <alignment vertical="center" wrapText="1"/>
      <protection locked="0"/>
    </xf>
    <xf numFmtId="0" fontId="34" fillId="0" borderId="74" xfId="11" applyFont="1" applyBorder="1" applyAlignment="1" applyProtection="1">
      <alignment vertical="center" wrapText="1"/>
      <protection locked="0"/>
    </xf>
    <xf numFmtId="0" fontId="52" fillId="7" borderId="38" xfId="11" applyFont="1" applyFill="1" applyBorder="1" applyAlignment="1">
      <alignment wrapText="1"/>
    </xf>
    <xf numFmtId="0" fontId="50" fillId="7" borderId="69" xfId="11" applyFont="1" applyFill="1" applyBorder="1" applyAlignment="1">
      <alignment horizontal="left" wrapText="1"/>
    </xf>
    <xf numFmtId="0" fontId="40" fillId="0" borderId="9" xfId="11" applyFont="1" applyBorder="1" applyAlignment="1" applyProtection="1">
      <alignment horizontal="center" vertical="top" wrapText="1"/>
      <protection locked="0"/>
    </xf>
    <xf numFmtId="0" fontId="4" fillId="0" borderId="9" xfId="11" applyBorder="1" applyAlignment="1" applyProtection="1">
      <alignment horizontal="center" vertical="top" wrapText="1"/>
      <protection locked="0"/>
    </xf>
    <xf numFmtId="0" fontId="2" fillId="0" borderId="0" xfId="11" applyFont="1" applyAlignment="1" applyProtection="1">
      <alignment horizontal="center" vertical="top" wrapText="1"/>
      <protection locked="0"/>
    </xf>
    <xf numFmtId="0" fontId="4" fillId="0" borderId="0" xfId="11" applyAlignment="1" applyProtection="1">
      <alignment horizontal="center" vertical="top" wrapText="1"/>
      <protection locked="0"/>
    </xf>
    <xf numFmtId="0" fontId="31" fillId="7" borderId="24" xfId="12" applyFont="1" applyFill="1" applyBorder="1" applyAlignment="1" applyProtection="1">
      <alignment vertical="center" wrapText="1"/>
      <protection locked="0"/>
    </xf>
    <xf numFmtId="0" fontId="4" fillId="7" borderId="69" xfId="12" applyFill="1" applyBorder="1" applyAlignment="1" applyProtection="1">
      <alignment vertical="center" wrapText="1"/>
      <protection locked="0"/>
    </xf>
    <xf numFmtId="0" fontId="14" fillId="7" borderId="69" xfId="12" applyFont="1" applyFill="1" applyBorder="1" applyAlignment="1">
      <alignment vertical="center" wrapText="1"/>
    </xf>
    <xf numFmtId="0" fontId="31" fillId="7" borderId="69" xfId="12" applyFont="1" applyFill="1" applyBorder="1" applyAlignment="1">
      <alignment vertical="center" wrapText="1"/>
    </xf>
    <xf numFmtId="0" fontId="31" fillId="7" borderId="69" xfId="12" applyFont="1" applyFill="1" applyBorder="1" applyAlignment="1" applyProtection="1">
      <alignment horizontal="right" vertical="center" wrapText="1"/>
      <protection locked="0"/>
    </xf>
    <xf numFmtId="0" fontId="31" fillId="7" borderId="95" xfId="12" applyFont="1" applyFill="1" applyBorder="1" applyAlignment="1" applyProtection="1">
      <alignment horizontal="right" vertical="center" wrapText="1"/>
      <protection locked="0"/>
    </xf>
    <xf numFmtId="0" fontId="48" fillId="14" borderId="29" xfId="7" applyFont="1" applyFill="1" applyBorder="1" applyAlignment="1">
      <alignment horizontal="left" vertical="center" wrapText="1"/>
    </xf>
    <xf numFmtId="0" fontId="45" fillId="14" borderId="30" xfId="7" applyFont="1" applyFill="1" applyBorder="1" applyAlignment="1">
      <alignment horizontal="left" vertical="center" wrapText="1"/>
    </xf>
    <xf numFmtId="0" fontId="45" fillId="14" borderId="94" xfId="7" applyFont="1" applyFill="1" applyBorder="1" applyAlignment="1">
      <alignment horizontal="left" vertical="center" wrapText="1"/>
    </xf>
    <xf numFmtId="0" fontId="40" fillId="7" borderId="25" xfId="7" applyFont="1" applyFill="1" applyBorder="1" applyAlignment="1">
      <alignment wrapText="1"/>
    </xf>
    <xf numFmtId="0" fontId="40" fillId="7" borderId="3" xfId="7" applyFont="1" applyFill="1" applyBorder="1" applyAlignment="1">
      <alignment wrapText="1"/>
    </xf>
    <xf numFmtId="0" fontId="40" fillId="7" borderId="20" xfId="7" applyFont="1" applyFill="1" applyBorder="1" applyAlignment="1">
      <alignment wrapText="1"/>
    </xf>
    <xf numFmtId="0" fontId="31" fillId="7" borderId="25" xfId="7" applyFont="1" applyFill="1" applyBorder="1" applyAlignment="1">
      <alignment vertical="top" wrapText="1"/>
    </xf>
    <xf numFmtId="0" fontId="5" fillId="7" borderId="25" xfId="7" applyFill="1" applyBorder="1" applyAlignment="1">
      <alignment vertical="top" wrapText="1"/>
    </xf>
    <xf numFmtId="0" fontId="34" fillId="7" borderId="3" xfId="7" applyFont="1" applyFill="1" applyBorder="1" applyAlignment="1" applyProtection="1">
      <alignment vertical="top" wrapText="1"/>
      <protection locked="0"/>
    </xf>
    <xf numFmtId="0" fontId="34" fillId="7" borderId="20" xfId="7" applyFont="1" applyFill="1" applyBorder="1" applyAlignment="1" applyProtection="1">
      <alignment vertical="top" wrapText="1"/>
      <protection locked="0"/>
    </xf>
    <xf numFmtId="0" fontId="49" fillId="7" borderId="38" xfId="7" applyFont="1" applyFill="1" applyBorder="1" applyAlignment="1">
      <alignment horizontal="center" vertical="top" wrapText="1"/>
    </xf>
    <xf numFmtId="0" fontId="49" fillId="7" borderId="35" xfId="7" applyFont="1" applyFill="1" applyBorder="1" applyAlignment="1">
      <alignment horizontal="center" vertical="top" wrapText="1"/>
    </xf>
    <xf numFmtId="0" fontId="48" fillId="0" borderId="0" xfId="7" applyFont="1" applyAlignment="1">
      <alignment horizontal="left" vertical="center" wrapText="1"/>
    </xf>
    <xf numFmtId="0" fontId="52" fillId="7" borderId="38" xfId="7" applyFont="1" applyFill="1" applyBorder="1" applyAlignment="1">
      <alignment wrapText="1"/>
    </xf>
    <xf numFmtId="0" fontId="5" fillId="0" borderId="0" xfId="7" applyAlignment="1">
      <alignment vertical="top" wrapText="1"/>
    </xf>
    <xf numFmtId="0" fontId="5" fillId="0" borderId="0" xfId="7" applyAlignment="1" applyProtection="1">
      <alignment horizontal="center" vertical="top" wrapText="1"/>
      <protection locked="0"/>
    </xf>
    <xf numFmtId="0" fontId="5" fillId="7" borderId="69" xfId="7" applyFill="1" applyBorder="1" applyAlignment="1" applyProtection="1">
      <alignment vertical="center" wrapText="1"/>
      <protection locked="0"/>
    </xf>
    <xf numFmtId="0" fontId="31" fillId="7" borderId="69" xfId="7" applyFont="1" applyFill="1" applyBorder="1" applyAlignment="1" applyProtection="1">
      <alignment horizontal="right" vertical="center" wrapText="1"/>
      <protection locked="0"/>
    </xf>
    <xf numFmtId="0" fontId="31" fillId="7" borderId="95" xfId="7" applyFont="1" applyFill="1" applyBorder="1" applyAlignment="1" applyProtection="1">
      <alignment horizontal="right" vertical="center" wrapText="1"/>
      <protection locked="0"/>
    </xf>
    <xf numFmtId="0" fontId="31" fillId="0" borderId="25" xfId="7" applyFont="1" applyBorder="1" applyAlignment="1">
      <alignment vertical="top" wrapText="1"/>
    </xf>
    <xf numFmtId="0" fontId="5" fillId="0" borderId="25" xfId="7" applyBorder="1" applyAlignment="1">
      <alignment vertical="top" wrapText="1"/>
    </xf>
    <xf numFmtId="0" fontId="5" fillId="0" borderId="14" xfId="7" applyBorder="1" applyAlignment="1">
      <alignment vertical="top" wrapText="1"/>
    </xf>
    <xf numFmtId="0" fontId="34" fillId="0" borderId="3" xfId="7" applyFont="1" applyBorder="1" applyAlignment="1" applyProtection="1">
      <alignment vertical="top" wrapText="1"/>
      <protection locked="0"/>
    </xf>
    <xf numFmtId="0" fontId="34" fillId="0" borderId="20" xfId="7" applyFont="1" applyBorder="1" applyAlignment="1" applyProtection="1">
      <alignment vertical="top" wrapText="1"/>
      <protection locked="0"/>
    </xf>
    <xf numFmtId="0" fontId="34" fillId="0" borderId="44" xfId="7" applyFont="1" applyBorder="1" applyAlignment="1" applyProtection="1">
      <alignment vertical="top" wrapText="1"/>
      <protection locked="0"/>
    </xf>
    <xf numFmtId="0" fontId="34" fillId="0" borderId="15" xfId="7" applyFont="1" applyBorder="1" applyAlignment="1" applyProtection="1">
      <alignment vertical="top" wrapText="1"/>
      <protection locked="0"/>
    </xf>
    <xf numFmtId="0" fontId="40" fillId="7" borderId="0" xfId="7" applyFont="1" applyFill="1" applyAlignment="1">
      <alignment wrapText="1"/>
    </xf>
    <xf numFmtId="0" fontId="34" fillId="0" borderId="3" xfId="7" applyFont="1" applyBorder="1" applyAlignment="1" applyProtection="1">
      <alignment vertical="center" wrapText="1"/>
      <protection locked="0"/>
    </xf>
    <xf numFmtId="14" fontId="34" fillId="0" borderId="4" xfId="7" applyNumberFormat="1" applyFont="1" applyBorder="1" applyAlignment="1" applyProtection="1">
      <alignment horizontal="right" vertical="center" wrapText="1"/>
      <protection locked="0"/>
    </xf>
    <xf numFmtId="0" fontId="34" fillId="0" borderId="33" xfId="7" applyFont="1" applyBorder="1" applyAlignment="1" applyProtection="1">
      <alignment horizontal="right" vertical="center" wrapText="1"/>
      <protection locked="0"/>
    </xf>
    <xf numFmtId="0" fontId="34" fillId="0" borderId="73" xfId="7" applyFont="1" applyBorder="1" applyAlignment="1" applyProtection="1">
      <alignment vertical="center" wrapText="1"/>
      <protection locked="0"/>
    </xf>
    <xf numFmtId="14" fontId="34" fillId="0" borderId="73" xfId="7" applyNumberFormat="1" applyFont="1" applyBorder="1" applyAlignment="1" applyProtection="1">
      <alignment vertical="center" wrapText="1"/>
      <protection locked="0"/>
    </xf>
    <xf numFmtId="0" fontId="34" fillId="0" borderId="74" xfId="7" applyFont="1" applyBorder="1" applyAlignment="1" applyProtection="1">
      <alignment vertical="center" wrapText="1"/>
      <protection locked="0"/>
    </xf>
    <xf numFmtId="0" fontId="40" fillId="7" borderId="66" xfId="7" applyFont="1" applyFill="1" applyBorder="1" applyAlignment="1">
      <alignment wrapText="1"/>
    </xf>
    <xf numFmtId="0" fontId="40" fillId="7" borderId="6" xfId="7" applyFont="1" applyFill="1" applyBorder="1" applyAlignment="1">
      <alignment wrapText="1"/>
    </xf>
    <xf numFmtId="0" fontId="40" fillId="7" borderId="33" xfId="7" applyFont="1" applyFill="1" applyBorder="1" applyAlignment="1">
      <alignment wrapText="1"/>
    </xf>
    <xf numFmtId="0" fontId="49" fillId="0" borderId="26" xfId="7" applyFont="1" applyBorder="1" applyAlignment="1">
      <alignment horizontal="left" vertical="top" wrapText="1"/>
    </xf>
    <xf numFmtId="0" fontId="40" fillId="0" borderId="72" xfId="7" applyFont="1" applyBorder="1" applyAlignment="1">
      <alignment horizontal="left" vertical="top" wrapText="1"/>
    </xf>
    <xf numFmtId="0" fontId="34" fillId="0" borderId="90" xfId="7" applyFont="1" applyBorder="1" applyAlignment="1" applyProtection="1">
      <alignment vertical="top" wrapText="1"/>
      <protection locked="0"/>
    </xf>
    <xf numFmtId="0" fontId="5" fillId="0" borderId="8" xfId="7" applyBorder="1" applyAlignment="1" applyProtection="1">
      <alignment vertical="top" wrapText="1"/>
      <protection locked="0"/>
    </xf>
    <xf numFmtId="0" fontId="5" fillId="0" borderId="91" xfId="7" applyBorder="1" applyAlignment="1" applyProtection="1">
      <alignment vertical="top" wrapText="1"/>
      <protection locked="0"/>
    </xf>
    <xf numFmtId="0" fontId="5" fillId="0" borderId="93" xfId="7" applyBorder="1" applyAlignment="1" applyProtection="1">
      <alignment vertical="top" wrapText="1"/>
      <protection locked="0"/>
    </xf>
    <xf numFmtId="0" fontId="5" fillId="0" borderId="35" xfId="7" applyBorder="1" applyAlignment="1" applyProtection="1">
      <alignment vertical="top" wrapText="1"/>
      <protection locked="0"/>
    </xf>
    <xf numFmtId="0" fontId="5" fillId="0" borderId="75" xfId="7" applyBorder="1" applyAlignment="1" applyProtection="1">
      <alignment vertical="top" wrapText="1"/>
      <protection locked="0"/>
    </xf>
    <xf numFmtId="0" fontId="40" fillId="7" borderId="35" xfId="7" applyFont="1" applyFill="1" applyBorder="1" applyAlignment="1">
      <alignment wrapText="1"/>
    </xf>
    <xf numFmtId="0" fontId="31" fillId="0" borderId="3" xfId="7" applyFont="1" applyBorder="1" applyAlignment="1">
      <alignment vertical="center" wrapText="1"/>
    </xf>
    <xf numFmtId="0" fontId="5" fillId="0" borderId="3" xfId="7" applyBorder="1" applyAlignment="1">
      <alignment vertical="center" wrapText="1"/>
    </xf>
    <xf numFmtId="0" fontId="31" fillId="0" borderId="20" xfId="7" applyFont="1" applyBorder="1" applyAlignment="1">
      <alignment vertical="center" wrapText="1"/>
    </xf>
    <xf numFmtId="0" fontId="48" fillId="14" borderId="12" xfId="7" applyFont="1" applyFill="1" applyBorder="1" applyAlignment="1">
      <alignment horizontal="left" vertical="center" wrapText="1"/>
    </xf>
    <xf numFmtId="0" fontId="48" fillId="14" borderId="65" xfId="7" applyFont="1" applyFill="1" applyBorder="1" applyAlignment="1">
      <alignment horizontal="left" vertical="center" wrapText="1"/>
    </xf>
    <xf numFmtId="0" fontId="48" fillId="14" borderId="13" xfId="7" applyFont="1" applyFill="1" applyBorder="1" applyAlignment="1">
      <alignment horizontal="left" vertical="center" wrapText="1"/>
    </xf>
    <xf numFmtId="0" fontId="40" fillId="0" borderId="34" xfId="7" applyFont="1" applyBorder="1" applyAlignment="1">
      <alignment vertical="center" wrapText="1"/>
    </xf>
    <xf numFmtId="0" fontId="40" fillId="0" borderId="35" xfId="7" applyFont="1" applyBorder="1" applyAlignment="1">
      <alignment vertical="center" wrapText="1"/>
    </xf>
    <xf numFmtId="0" fontId="40" fillId="0" borderId="41" xfId="7" applyFont="1" applyBorder="1" applyAlignment="1">
      <alignment vertical="center" wrapText="1"/>
    </xf>
    <xf numFmtId="0" fontId="40" fillId="7" borderId="16" xfId="7" applyFont="1" applyFill="1" applyBorder="1" applyAlignment="1">
      <alignment vertical="center" wrapText="1"/>
    </xf>
    <xf numFmtId="0" fontId="5" fillId="0" borderId="38" xfId="7" applyBorder="1" applyAlignment="1">
      <alignment vertical="center" wrapText="1"/>
    </xf>
    <xf numFmtId="0" fontId="5" fillId="0" borderId="39" xfId="7" applyBorder="1" applyAlignment="1">
      <alignment vertical="center" wrapText="1"/>
    </xf>
    <xf numFmtId="0" fontId="40" fillId="0" borderId="69" xfId="7" applyFont="1" applyBorder="1" applyAlignment="1">
      <alignment horizontal="left" vertical="center" wrapText="1"/>
    </xf>
    <xf numFmtId="0" fontId="45" fillId="14" borderId="65" xfId="7" applyFont="1" applyFill="1" applyBorder="1" applyAlignment="1">
      <alignment horizontal="left" vertical="center" wrapText="1"/>
    </xf>
    <xf numFmtId="0" fontId="45" fillId="14" borderId="13" xfId="7" applyFont="1" applyFill="1" applyBorder="1" applyAlignment="1">
      <alignment horizontal="left" vertical="center" wrapText="1"/>
    </xf>
    <xf numFmtId="0" fontId="24" fillId="0" borderId="66" xfId="7" applyFont="1" applyBorder="1" applyAlignment="1">
      <alignment vertical="center" wrapText="1"/>
    </xf>
    <xf numFmtId="0" fontId="24" fillId="0" borderId="6" xfId="7" applyFont="1" applyBorder="1" applyAlignment="1">
      <alignment vertical="center" wrapText="1"/>
    </xf>
    <xf numFmtId="0" fontId="24" fillId="0" borderId="5" xfId="7" applyFont="1" applyBorder="1" applyAlignment="1">
      <alignment vertical="center" wrapText="1"/>
    </xf>
    <xf numFmtId="0" fontId="40" fillId="7" borderId="66" xfId="7" applyFont="1" applyFill="1" applyBorder="1" applyAlignment="1">
      <alignment vertical="top" wrapText="1"/>
    </xf>
    <xf numFmtId="0" fontId="40" fillId="0" borderId="6" xfId="7" applyFont="1" applyBorder="1" applyAlignment="1">
      <alignment vertical="top" wrapText="1"/>
    </xf>
    <xf numFmtId="0" fontId="40" fillId="0" borderId="33" xfId="7" applyFont="1" applyBorder="1" applyAlignment="1">
      <alignment vertical="top" wrapText="1"/>
    </xf>
    <xf numFmtId="0" fontId="49" fillId="0" borderId="3" xfId="7" applyFont="1" applyBorder="1" applyAlignment="1">
      <alignment horizontal="right" vertical="top" wrapText="1"/>
    </xf>
    <xf numFmtId="0" fontId="40" fillId="0" borderId="44" xfId="7" applyFont="1" applyBorder="1" applyAlignment="1">
      <alignment horizontal="right" vertical="top" wrapText="1"/>
    </xf>
    <xf numFmtId="0" fontId="34" fillId="0" borderId="3" xfId="7" applyFont="1" applyBorder="1" applyAlignment="1" applyProtection="1">
      <alignment wrapText="1"/>
      <protection locked="0"/>
    </xf>
    <xf numFmtId="0" fontId="34" fillId="0" borderId="20" xfId="7" applyFont="1" applyBorder="1" applyAlignment="1" applyProtection="1">
      <alignment wrapText="1"/>
      <protection locked="0"/>
    </xf>
    <xf numFmtId="0" fontId="34" fillId="0" borderId="44" xfId="7" applyFont="1" applyBorder="1" applyAlignment="1" applyProtection="1">
      <alignment wrapText="1"/>
      <protection locked="0"/>
    </xf>
    <xf numFmtId="0" fontId="34" fillId="0" borderId="15" xfId="7" applyFont="1" applyBorder="1" applyAlignment="1" applyProtection="1">
      <alignment wrapText="1"/>
      <protection locked="0"/>
    </xf>
    <xf numFmtId="0" fontId="40" fillId="7" borderId="38" xfId="7" applyFont="1" applyFill="1" applyBorder="1" applyAlignment="1">
      <alignment wrapText="1"/>
    </xf>
    <xf numFmtId="0" fontId="40" fillId="0" borderId="3" xfId="7" applyFont="1" applyBorder="1" applyAlignment="1">
      <alignment horizontal="right" vertical="top" wrapText="1"/>
    </xf>
    <xf numFmtId="0" fontId="34" fillId="0" borderId="8" xfId="7" applyFont="1" applyBorder="1" applyAlignment="1" applyProtection="1">
      <alignment vertical="top" wrapText="1"/>
      <protection locked="0"/>
    </xf>
    <xf numFmtId="0" fontId="34" fillId="0" borderId="91" xfId="7" applyFont="1" applyBorder="1" applyAlignment="1" applyProtection="1">
      <alignment vertical="top" wrapText="1"/>
      <protection locked="0"/>
    </xf>
    <xf numFmtId="0" fontId="34" fillId="0" borderId="92" xfId="7" applyFont="1" applyBorder="1" applyAlignment="1" applyProtection="1">
      <alignment vertical="top" wrapText="1"/>
      <protection locked="0"/>
    </xf>
    <xf numFmtId="0" fontId="34" fillId="0" borderId="9" xfId="7" applyFont="1" applyBorder="1" applyAlignment="1" applyProtection="1">
      <alignment vertical="top" wrapText="1"/>
      <protection locked="0"/>
    </xf>
    <xf numFmtId="0" fontId="34" fillId="0" borderId="42" xfId="7" applyFont="1" applyBorder="1" applyAlignment="1" applyProtection="1">
      <alignment vertical="top" wrapText="1"/>
      <protection locked="0"/>
    </xf>
    <xf numFmtId="0" fontId="34" fillId="0" borderId="66" xfId="7" applyFont="1" applyBorder="1" applyAlignment="1" applyProtection="1">
      <alignment horizontal="center" vertical="top" wrapText="1"/>
      <protection locked="0"/>
    </xf>
    <xf numFmtId="0" fontId="34" fillId="0" borderId="5" xfId="7" applyFont="1" applyBorder="1" applyAlignment="1" applyProtection="1">
      <alignment horizontal="center" vertical="top" wrapText="1"/>
      <protection locked="0"/>
    </xf>
    <xf numFmtId="0" fontId="34" fillId="0" borderId="4" xfId="7" applyFont="1" applyBorder="1" applyAlignment="1" applyProtection="1">
      <alignment horizontal="center" vertical="top" wrapText="1"/>
      <protection locked="0"/>
    </xf>
    <xf numFmtId="0" fontId="34" fillId="0" borderId="66" xfId="7" applyFont="1" applyBorder="1" applyAlignment="1" applyProtection="1">
      <alignment vertical="top" wrapText="1"/>
      <protection locked="0"/>
    </xf>
    <xf numFmtId="0" fontId="34" fillId="0" borderId="5" xfId="7" applyFont="1" applyBorder="1" applyAlignment="1" applyProtection="1">
      <alignment vertical="top" wrapText="1"/>
      <protection locked="0"/>
    </xf>
    <xf numFmtId="0" fontId="34" fillId="0" borderId="4" xfId="7" applyFont="1" applyBorder="1" applyAlignment="1" applyProtection="1">
      <alignment vertical="top" wrapText="1"/>
      <protection locked="0"/>
    </xf>
    <xf numFmtId="0" fontId="34" fillId="0" borderId="67" xfId="7" applyFont="1" applyBorder="1" applyAlignment="1" applyProtection="1">
      <alignment vertical="top" wrapText="1"/>
      <protection locked="0"/>
    </xf>
    <xf numFmtId="0" fontId="34" fillId="0" borderId="43" xfId="7" applyFont="1" applyBorder="1" applyAlignment="1" applyProtection="1">
      <alignment vertical="top" wrapText="1"/>
      <protection locked="0"/>
    </xf>
    <xf numFmtId="0" fontId="34" fillId="0" borderId="68" xfId="7" applyFont="1" applyBorder="1" applyAlignment="1" applyProtection="1">
      <alignment vertical="top" wrapText="1"/>
      <protection locked="0"/>
    </xf>
    <xf numFmtId="3" fontId="34" fillId="0" borderId="68" xfId="7" applyNumberFormat="1" applyFont="1" applyBorder="1" applyAlignment="1" applyProtection="1">
      <alignment horizontal="left" vertical="top" wrapText="1"/>
      <protection locked="0"/>
    </xf>
    <xf numFmtId="3" fontId="34" fillId="0" borderId="81" xfId="7" applyNumberFormat="1" applyFont="1" applyBorder="1" applyAlignment="1" applyProtection="1">
      <alignment horizontal="left" vertical="top" wrapText="1"/>
      <protection locked="0"/>
    </xf>
    <xf numFmtId="3" fontId="34" fillId="0" borderId="36" xfId="7" applyNumberFormat="1" applyFont="1" applyBorder="1" applyAlignment="1" applyProtection="1">
      <alignment horizontal="left" vertical="top" wrapText="1"/>
      <protection locked="0"/>
    </xf>
    <xf numFmtId="0" fontId="59" fillId="14" borderId="12" xfId="7" applyFont="1" applyFill="1" applyBorder="1" applyAlignment="1">
      <alignment horizontal="left" vertical="center" wrapText="1"/>
    </xf>
    <xf numFmtId="0" fontId="60" fillId="0" borderId="65" xfId="7" applyFont="1" applyBorder="1" applyAlignment="1">
      <alignment horizontal="left" vertical="center" wrapText="1"/>
    </xf>
    <xf numFmtId="0" fontId="60" fillId="0" borderId="76" xfId="7" applyFont="1" applyBorder="1" applyAlignment="1">
      <alignment horizontal="left" vertical="center" wrapText="1"/>
    </xf>
    <xf numFmtId="0" fontId="56" fillId="14" borderId="77" xfId="7" applyFont="1" applyFill="1" applyBorder="1" applyAlignment="1" applyProtection="1">
      <alignment horizontal="left" vertical="center" wrapText="1"/>
      <protection locked="0"/>
    </xf>
    <xf numFmtId="0" fontId="57" fillId="0" borderId="13" xfId="7" applyFont="1" applyBorder="1" applyAlignment="1" applyProtection="1">
      <alignment horizontal="left" vertical="center" wrapText="1"/>
      <protection locked="0"/>
    </xf>
    <xf numFmtId="0" fontId="40" fillId="7" borderId="69" xfId="7" applyFont="1" applyFill="1" applyBorder="1" applyAlignment="1">
      <alignment wrapText="1"/>
    </xf>
    <xf numFmtId="0" fontId="15" fillId="0" borderId="10" xfId="7" applyFont="1" applyBorder="1" applyAlignment="1">
      <alignment horizontal="left" vertical="center" wrapText="1"/>
    </xf>
    <xf numFmtId="0" fontId="15" fillId="0" borderId="73" xfId="7" applyFont="1" applyBorder="1" applyAlignment="1">
      <alignment horizontal="left" vertical="center" wrapText="1"/>
    </xf>
    <xf numFmtId="14" fontId="34" fillId="16" borderId="23" xfId="7" applyNumberFormat="1" applyFont="1" applyFill="1" applyBorder="1" applyAlignment="1" applyProtection="1">
      <alignment horizontal="left" vertical="center" wrapText="1"/>
      <protection locked="0"/>
    </xf>
    <xf numFmtId="14" fontId="34" fillId="16" borderId="74" xfId="7" applyNumberFormat="1" applyFont="1" applyFill="1" applyBorder="1" applyAlignment="1" applyProtection="1">
      <alignment horizontal="left" vertical="center" wrapText="1"/>
      <protection locked="0"/>
    </xf>
    <xf numFmtId="0" fontId="49" fillId="7" borderId="66" xfId="7" applyFont="1" applyFill="1" applyBorder="1" applyAlignment="1">
      <alignment wrapText="1"/>
    </xf>
    <xf numFmtId="0" fontId="49" fillId="7" borderId="6" xfId="7" applyFont="1" applyFill="1" applyBorder="1" applyAlignment="1">
      <alignment wrapText="1"/>
    </xf>
    <xf numFmtId="0" fontId="49" fillId="7" borderId="33" xfId="7" applyFont="1" applyFill="1" applyBorder="1" applyAlignment="1">
      <alignment wrapText="1"/>
    </xf>
    <xf numFmtId="0" fontId="31" fillId="0" borderId="66" xfId="7" applyFont="1" applyBorder="1" applyAlignment="1">
      <alignment vertical="center" wrapText="1"/>
    </xf>
    <xf numFmtId="0" fontId="31" fillId="0" borderId="5" xfId="7" applyFont="1" applyBorder="1" applyAlignment="1">
      <alignment vertical="center" wrapText="1"/>
    </xf>
    <xf numFmtId="0" fontId="31" fillId="0" borderId="4" xfId="7" applyFont="1" applyBorder="1" applyAlignment="1">
      <alignment vertical="center" wrapText="1"/>
    </xf>
    <xf numFmtId="0" fontId="5" fillId="0" borderId="65" xfId="7" applyBorder="1" applyAlignment="1">
      <alignment horizontal="left" vertical="center" wrapText="1"/>
    </xf>
    <xf numFmtId="0" fontId="5" fillId="0" borderId="76" xfId="7" applyBorder="1" applyAlignment="1">
      <alignment horizontal="left" vertical="center" wrapText="1"/>
    </xf>
    <xf numFmtId="0" fontId="34" fillId="7" borderId="62" xfId="7" applyFont="1" applyFill="1" applyBorder="1" applyAlignment="1" applyProtection="1">
      <alignment horizontal="left" vertical="top" wrapText="1"/>
      <protection locked="0"/>
    </xf>
    <xf numFmtId="0" fontId="34" fillId="7" borderId="45" xfId="7" applyFont="1" applyFill="1" applyBorder="1" applyAlignment="1" applyProtection="1">
      <alignment horizontal="left" vertical="top" wrapText="1"/>
      <protection locked="0"/>
    </xf>
    <xf numFmtId="0" fontId="34" fillId="7" borderId="63" xfId="7" applyFont="1" applyFill="1" applyBorder="1" applyAlignment="1" applyProtection="1">
      <alignment horizontal="left" vertical="top" wrapText="1"/>
      <protection locked="0"/>
    </xf>
    <xf numFmtId="0" fontId="40" fillId="7" borderId="64" xfId="7" applyFont="1" applyFill="1" applyBorder="1" applyAlignment="1">
      <alignment wrapText="1"/>
    </xf>
    <xf numFmtId="0" fontId="49" fillId="7" borderId="49" xfId="7" applyFont="1" applyFill="1" applyBorder="1" applyAlignment="1">
      <alignment wrapText="1"/>
    </xf>
    <xf numFmtId="0" fontId="49" fillId="7" borderId="8" xfId="7" applyFont="1" applyFill="1" applyBorder="1" applyAlignment="1">
      <alignment wrapText="1"/>
    </xf>
    <xf numFmtId="0" fontId="49" fillId="7" borderId="50" xfId="7" applyFont="1" applyFill="1" applyBorder="1" applyAlignment="1">
      <alignment wrapText="1"/>
    </xf>
    <xf numFmtId="0" fontId="33" fillId="0" borderId="4" xfId="7" applyFont="1" applyBorder="1" applyAlignment="1">
      <alignment vertical="center" wrapText="1"/>
    </xf>
    <xf numFmtId="0" fontId="33" fillId="0" borderId="6" xfId="7" applyFont="1" applyBorder="1" applyAlignment="1">
      <alignment vertical="center" wrapText="1"/>
    </xf>
    <xf numFmtId="0" fontId="33" fillId="0" borderId="52" xfId="7" applyFont="1" applyBorder="1" applyAlignment="1">
      <alignment vertical="center" wrapText="1"/>
    </xf>
    <xf numFmtId="0" fontId="52" fillId="7" borderId="53" xfId="7" applyFont="1" applyFill="1" applyBorder="1" applyAlignment="1">
      <alignment wrapText="1"/>
    </xf>
    <xf numFmtId="0" fontId="52" fillId="7" borderId="9" xfId="7" applyFont="1" applyFill="1" applyBorder="1" applyAlignment="1">
      <alignment wrapText="1"/>
    </xf>
    <xf numFmtId="0" fontId="52" fillId="7" borderId="54" xfId="7" applyFont="1" applyFill="1" applyBorder="1" applyAlignment="1">
      <alignment wrapText="1"/>
    </xf>
    <xf numFmtId="3" fontId="53" fillId="0" borderId="55" xfId="7" applyNumberFormat="1" applyFont="1" applyBorder="1" applyAlignment="1" applyProtection="1">
      <alignment horizontal="center" vertical="center" wrapText="1"/>
      <protection locked="0"/>
    </xf>
    <xf numFmtId="3" fontId="53" fillId="0" borderId="57" xfId="7" applyNumberFormat="1" applyFont="1" applyBorder="1" applyAlignment="1" applyProtection="1">
      <alignment horizontal="center" vertical="center" wrapText="1"/>
      <protection locked="0"/>
    </xf>
    <xf numFmtId="0" fontId="31" fillId="0" borderId="4" xfId="7" applyFont="1" applyBorder="1" applyAlignment="1">
      <alignment horizontal="left" vertical="center" wrapText="1"/>
    </xf>
    <xf numFmtId="0" fontId="31" fillId="0" borderId="6" xfId="7" applyFont="1" applyBorder="1" applyAlignment="1">
      <alignment horizontal="left" vertical="center" wrapText="1"/>
    </xf>
    <xf numFmtId="0" fontId="31" fillId="0" borderId="5" xfId="7" applyFont="1" applyBorder="1" applyAlignment="1">
      <alignment horizontal="left" vertical="center" wrapText="1"/>
    </xf>
    <xf numFmtId="0" fontId="5" fillId="0" borderId="4" xfId="7" applyBorder="1" applyAlignment="1">
      <alignment vertical="center" wrapText="1"/>
    </xf>
    <xf numFmtId="0" fontId="5" fillId="0" borderId="5" xfId="7" applyBorder="1" applyAlignment="1">
      <alignment vertical="center" wrapText="1"/>
    </xf>
    <xf numFmtId="0" fontId="5" fillId="0" borderId="52" xfId="7" applyBorder="1" applyAlignment="1">
      <alignment vertical="center" wrapText="1"/>
    </xf>
    <xf numFmtId="0" fontId="41" fillId="15" borderId="38" xfId="7" applyFont="1" applyFill="1" applyBorder="1" applyAlignment="1">
      <alignment horizontal="center" vertical="center" wrapText="1"/>
    </xf>
    <xf numFmtId="0" fontId="40" fillId="7" borderId="9" xfId="7" applyFont="1" applyFill="1" applyBorder="1" applyAlignment="1">
      <alignment wrapText="1"/>
    </xf>
    <xf numFmtId="0" fontId="34" fillId="14" borderId="4" xfId="7" applyFont="1" applyFill="1" applyBorder="1" applyAlignment="1" applyProtection="1">
      <alignment horizontal="center" vertical="center" wrapText="1"/>
      <protection locked="0"/>
    </xf>
    <xf numFmtId="0" fontId="34" fillId="14" borderId="6" xfId="7" applyFont="1" applyFill="1" applyBorder="1" applyAlignment="1" applyProtection="1">
      <alignment horizontal="center" vertical="center" wrapText="1"/>
      <protection locked="0"/>
    </xf>
    <xf numFmtId="0" fontId="34" fillId="14" borderId="5" xfId="7" applyFont="1" applyFill="1" applyBorder="1" applyAlignment="1" applyProtection="1">
      <alignment horizontal="center" vertical="center" wrapText="1"/>
      <protection locked="0"/>
    </xf>
    <xf numFmtId="0" fontId="40" fillId="7" borderId="45" xfId="7" applyFont="1" applyFill="1" applyBorder="1" applyAlignment="1">
      <alignment wrapText="1"/>
    </xf>
    <xf numFmtId="0" fontId="48" fillId="14" borderId="46" xfId="7" applyFont="1" applyFill="1" applyBorder="1" applyAlignment="1">
      <alignment vertical="center" wrapText="1"/>
    </xf>
    <xf numFmtId="0" fontId="48" fillId="14" borderId="47" xfId="7" applyFont="1" applyFill="1" applyBorder="1" applyAlignment="1">
      <alignment vertical="center" wrapText="1"/>
    </xf>
    <xf numFmtId="0" fontId="48" fillId="14" borderId="48" xfId="7" applyFont="1" applyFill="1" applyBorder="1" applyAlignment="1">
      <alignment vertical="center" wrapText="1"/>
    </xf>
    <xf numFmtId="0" fontId="15" fillId="0" borderId="4" xfId="7" applyFont="1" applyBorder="1" applyAlignment="1">
      <alignment horizontal="left" vertical="center" wrapText="1"/>
    </xf>
    <xf numFmtId="0" fontId="15" fillId="0" borderId="6" xfId="7" applyFont="1" applyBorder="1" applyAlignment="1">
      <alignment horizontal="left" vertical="center" wrapText="1"/>
    </xf>
    <xf numFmtId="0" fontId="15" fillId="0" borderId="52" xfId="7" applyFont="1" applyBorder="1" applyAlignment="1">
      <alignment horizontal="left" vertical="center" wrapText="1"/>
    </xf>
    <xf numFmtId="0" fontId="31" fillId="7" borderId="24" xfId="7" applyFont="1" applyFill="1" applyBorder="1" applyAlignment="1" applyProtection="1">
      <alignment vertical="center" wrapText="1"/>
      <protection locked="0"/>
    </xf>
    <xf numFmtId="14" fontId="34" fillId="0" borderId="3" xfId="7" applyNumberFormat="1" applyFont="1" applyBorder="1" applyAlignment="1" applyProtection="1">
      <alignment vertical="center" wrapText="1"/>
      <protection locked="0"/>
    </xf>
    <xf numFmtId="0" fontId="34" fillId="0" borderId="20" xfId="7" applyFont="1" applyBorder="1" applyAlignment="1" applyProtection="1">
      <alignment vertical="center" wrapText="1"/>
      <protection locked="0"/>
    </xf>
    <xf numFmtId="0" fontId="5" fillId="0" borderId="6" xfId="7" applyBorder="1" applyAlignment="1">
      <alignment horizontal="left" vertical="center" wrapText="1"/>
    </xf>
    <xf numFmtId="0" fontId="5" fillId="0" borderId="5" xfId="7" applyBorder="1" applyAlignment="1">
      <alignment horizontal="left" vertical="center" wrapText="1"/>
    </xf>
    <xf numFmtId="0" fontId="5" fillId="0" borderId="33" xfId="7" applyBorder="1" applyAlignment="1">
      <alignment horizontal="left" vertical="center" wrapText="1"/>
    </xf>
    <xf numFmtId="0" fontId="48" fillId="14" borderId="22" xfId="7" applyFont="1" applyFill="1" applyBorder="1" applyAlignment="1">
      <alignment horizontal="left" vertical="center" wrapText="1"/>
    </xf>
    <xf numFmtId="0" fontId="45" fillId="14" borderId="11" xfId="7" applyFont="1" applyFill="1" applyBorder="1" applyAlignment="1">
      <alignment horizontal="left" vertical="center" wrapText="1"/>
    </xf>
    <xf numFmtId="0" fontId="45" fillId="14" borderId="21" xfId="7" applyFont="1" applyFill="1" applyBorder="1" applyAlignment="1">
      <alignment horizontal="left" vertical="center" wrapText="1"/>
    </xf>
    <xf numFmtId="0" fontId="40" fillId="0" borderId="66" xfId="7" applyFont="1" applyBorder="1" applyAlignment="1">
      <alignment vertical="center" wrapText="1"/>
    </xf>
    <xf numFmtId="0" fontId="40" fillId="0" borderId="6" xfId="7" applyFont="1" applyBorder="1" applyAlignment="1">
      <alignment vertical="center" wrapText="1"/>
    </xf>
    <xf numFmtId="0" fontId="40" fillId="0" borderId="8" xfId="7" applyFont="1" applyBorder="1" applyAlignment="1">
      <alignment vertical="center" wrapText="1"/>
    </xf>
    <xf numFmtId="0" fontId="40" fillId="0" borderId="91" xfId="7" applyFont="1" applyBorder="1" applyAlignment="1">
      <alignment vertical="center" wrapText="1"/>
    </xf>
    <xf numFmtId="0" fontId="40" fillId="7" borderId="99" xfId="7" applyFont="1" applyFill="1" applyBorder="1" applyAlignment="1">
      <alignment vertical="center" wrapText="1"/>
    </xf>
    <xf numFmtId="0" fontId="5" fillId="0" borderId="35" xfId="7" applyBorder="1" applyAlignment="1">
      <alignment vertical="center" wrapText="1"/>
    </xf>
    <xf numFmtId="0" fontId="5" fillId="0" borderId="100" xfId="7" applyBorder="1" applyAlignment="1">
      <alignment vertical="center" wrapText="1"/>
    </xf>
    <xf numFmtId="0" fontId="40" fillId="7" borderId="69" xfId="7" applyFont="1" applyFill="1" applyBorder="1" applyAlignment="1">
      <alignment vertical="center" wrapText="1"/>
    </xf>
    <xf numFmtId="0" fontId="40" fillId="0" borderId="69" xfId="7" applyFont="1" applyBorder="1" applyAlignment="1">
      <alignment vertical="center" wrapText="1"/>
    </xf>
    <xf numFmtId="3" fontId="34" fillId="0" borderId="35" xfId="7" applyNumberFormat="1" applyFont="1" applyBorder="1" applyAlignment="1" applyProtection="1">
      <alignment horizontal="left" vertical="top" wrapText="1"/>
      <protection locked="0"/>
    </xf>
    <xf numFmtId="0" fontId="5" fillId="0" borderId="81" xfId="7" applyBorder="1" applyAlignment="1" applyProtection="1">
      <alignment vertical="top" wrapText="1"/>
      <protection locked="0"/>
    </xf>
    <xf numFmtId="0" fontId="5" fillId="0" borderId="36" xfId="7" applyBorder="1" applyAlignment="1" applyProtection="1">
      <alignment vertical="top" wrapText="1"/>
      <protection locked="0"/>
    </xf>
    <xf numFmtId="0" fontId="31" fillId="0" borderId="40" xfId="7" applyFont="1" applyBorder="1" applyAlignment="1">
      <alignment horizontal="left" vertical="center" wrapText="1"/>
    </xf>
    <xf numFmtId="0" fontId="5" fillId="0" borderId="73" xfId="7" applyBorder="1" applyAlignment="1">
      <alignment horizontal="left" vertical="center" wrapText="1"/>
    </xf>
    <xf numFmtId="14" fontId="34" fillId="16" borderId="89" xfId="7" applyNumberFormat="1" applyFont="1" applyFill="1" applyBorder="1" applyAlignment="1" applyProtection="1">
      <alignment horizontal="left" vertical="center" wrapText="1"/>
      <protection locked="0"/>
    </xf>
    <xf numFmtId="0" fontId="34" fillId="16" borderId="74" xfId="7" applyFont="1" applyFill="1" applyBorder="1" applyAlignment="1" applyProtection="1">
      <alignment vertical="center" wrapText="1"/>
      <protection locked="0"/>
    </xf>
    <xf numFmtId="0" fontId="34" fillId="0" borderId="25" xfId="7" applyFont="1" applyBorder="1" applyAlignment="1" applyProtection="1">
      <alignment vertical="top" wrapText="1"/>
      <protection locked="0"/>
    </xf>
    <xf numFmtId="0" fontId="34" fillId="0" borderId="14" xfId="7" applyFont="1" applyBorder="1" applyAlignment="1" applyProtection="1">
      <alignment vertical="top" wrapText="1"/>
      <protection locked="0"/>
    </xf>
    <xf numFmtId="0" fontId="5" fillId="0" borderId="5" xfId="7" applyBorder="1" applyAlignment="1" applyProtection="1">
      <alignment vertical="top" wrapText="1"/>
      <protection locked="0"/>
    </xf>
    <xf numFmtId="0" fontId="48" fillId="14" borderId="96" xfId="7" applyFont="1" applyFill="1" applyBorder="1" applyAlignment="1">
      <alignment vertical="center" wrapText="1"/>
    </xf>
    <xf numFmtId="0" fontId="45" fillId="14" borderId="97" xfId="7" applyFont="1" applyFill="1" applyBorder="1" applyAlignment="1">
      <alignment vertical="center" wrapText="1"/>
    </xf>
    <xf numFmtId="0" fontId="45" fillId="14" borderId="98" xfId="7" applyFont="1" applyFill="1" applyBorder="1" applyAlignment="1">
      <alignment vertical="center" wrapText="1"/>
    </xf>
    <xf numFmtId="0" fontId="49" fillId="7" borderId="25" xfId="7" applyFont="1" applyFill="1" applyBorder="1" applyAlignment="1">
      <alignment wrapText="1"/>
    </xf>
    <xf numFmtId="0" fontId="5" fillId="0" borderId="3" xfId="7" applyBorder="1" applyAlignment="1">
      <alignment wrapText="1"/>
    </xf>
    <xf numFmtId="0" fontId="5" fillId="0" borderId="20" xfId="7" applyBorder="1" applyAlignment="1">
      <alignment wrapText="1"/>
    </xf>
    <xf numFmtId="0" fontId="31" fillId="0" borderId="25" xfId="7" applyFont="1" applyBorder="1" applyAlignment="1">
      <alignment vertical="center" wrapText="1"/>
    </xf>
    <xf numFmtId="0" fontId="15" fillId="0" borderId="8" xfId="7" applyFont="1" applyBorder="1" applyAlignment="1">
      <alignment horizontal="left" vertical="center" wrapText="1"/>
    </xf>
    <xf numFmtId="0" fontId="15" fillId="0" borderId="50" xfId="7" applyFont="1" applyBorder="1" applyAlignment="1">
      <alignment horizontal="left" vertical="center" wrapText="1"/>
    </xf>
    <xf numFmtId="0" fontId="55" fillId="0" borderId="6" xfId="7" applyFont="1" applyBorder="1" applyAlignment="1">
      <alignment horizontal="left" vertical="center" wrapText="1"/>
    </xf>
    <xf numFmtId="0" fontId="55" fillId="0" borderId="52" xfId="7" applyFont="1" applyBorder="1" applyAlignment="1">
      <alignment horizontal="left" vertical="center" wrapText="1"/>
    </xf>
    <xf numFmtId="0" fontId="49" fillId="7" borderId="55" xfId="7" applyFont="1" applyFill="1" applyBorder="1" applyAlignment="1">
      <alignment wrapText="1"/>
    </xf>
    <xf numFmtId="0" fontId="5" fillId="0" borderId="56" xfId="7" applyBorder="1" applyAlignment="1">
      <alignment wrapText="1"/>
    </xf>
    <xf numFmtId="0" fontId="46" fillId="0" borderId="3" xfId="7" applyFont="1" applyBorder="1" applyAlignment="1">
      <alignment vertical="center" wrapText="1"/>
    </xf>
    <xf numFmtId="0" fontId="46" fillId="0" borderId="56" xfId="7" applyFont="1" applyBorder="1" applyAlignment="1">
      <alignment vertical="center" wrapText="1"/>
    </xf>
    <xf numFmtId="0" fontId="33" fillId="0" borderId="3" xfId="7" applyFont="1" applyBorder="1" applyAlignment="1">
      <alignment vertical="center" wrapText="1"/>
    </xf>
    <xf numFmtId="0" fontId="33" fillId="0" borderId="56" xfId="7" applyFont="1" applyBorder="1" applyAlignment="1">
      <alignment vertical="center" wrapText="1"/>
    </xf>
    <xf numFmtId="0" fontId="52" fillId="7" borderId="51" xfId="7" applyFont="1" applyFill="1" applyBorder="1" applyAlignment="1">
      <alignment wrapText="1"/>
    </xf>
    <xf numFmtId="0" fontId="52" fillId="7" borderId="3" xfId="7" applyFont="1" applyFill="1" applyBorder="1" applyAlignment="1">
      <alignment wrapText="1"/>
    </xf>
    <xf numFmtId="0" fontId="52" fillId="7" borderId="56" xfId="7" applyFont="1" applyFill="1" applyBorder="1" applyAlignment="1">
      <alignment wrapText="1"/>
    </xf>
    <xf numFmtId="0" fontId="30" fillId="15" borderId="38" xfId="7" applyFont="1" applyFill="1" applyBorder="1" applyAlignment="1">
      <alignment horizontal="center" vertical="center" wrapText="1"/>
    </xf>
    <xf numFmtId="0" fontId="67" fillId="17" borderId="6" xfId="7" applyFont="1" applyFill="1" applyBorder="1" applyAlignment="1">
      <alignment vertical="center" wrapText="1"/>
    </xf>
    <xf numFmtId="0" fontId="68" fillId="17" borderId="33" xfId="7" applyFont="1" applyFill="1" applyBorder="1" applyAlignment="1">
      <alignment vertical="center" wrapText="1"/>
    </xf>
  </cellXfs>
  <cellStyles count="13">
    <cellStyle name="Bueno" xfId="1" builtinId="26" customBuiltin="1"/>
    <cellStyle name="Cálculo" xfId="5" builtinId="22" customBuiltin="1"/>
    <cellStyle name="Incorrecto" xfId="2" builtinId="27" customBuiltin="1"/>
    <cellStyle name="Millares 2" xfId="9" xr:uid="{00000000-0005-0000-0000-000003000000}"/>
    <cellStyle name="Neutral" xfId="3" builtinId="28" customBuiltin="1"/>
    <cellStyle name="Normal" xfId="0" builtinId="0" customBuiltin="1"/>
    <cellStyle name="Normal 2" xfId="8" xr:uid="{00000000-0005-0000-0000-000006000000}"/>
    <cellStyle name="Normal 3" xfId="11" xr:uid="{00000000-0005-0000-0000-000007000000}"/>
    <cellStyle name="Porcentaje 2" xfId="10" xr:uid="{00000000-0005-0000-0000-000008000000}"/>
    <cellStyle name="Salida" xfId="4" builtinId="21" customBuiltin="1"/>
    <cellStyle name="Standard 2" xfId="6" xr:uid="{00000000-0005-0000-0000-00000A000000}"/>
    <cellStyle name="Standard 3" xfId="7" xr:uid="{00000000-0005-0000-0000-00000B000000}"/>
    <cellStyle name="Standard 3 2" xfId="12" xr:uid="{00000000-0005-0000-0000-00000C000000}"/>
  </cellStyles>
  <dxfs count="98">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theme="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patternFill>
      </fill>
    </dxf>
    <dxf>
      <fill>
        <patternFill>
          <bgColor rgb="FF00B050"/>
        </patternFill>
      </fill>
    </dxf>
    <dxf>
      <fill>
        <patternFill>
          <bgColor rgb="FFFF0000"/>
        </patternFill>
      </fill>
    </dxf>
    <dxf>
      <fill>
        <patternFill>
          <bgColor rgb="FF00B050"/>
        </patternFill>
      </fill>
    </dxf>
    <dxf>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ont>
        <color theme="1"/>
      </font>
      <fill>
        <patternFill>
          <bgColor rgb="FFFF0000"/>
        </patternFill>
      </fill>
    </dxf>
    <dxf>
      <fill>
        <patternFill>
          <bgColor rgb="FFFFCC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patternFill>
      </fill>
    </dxf>
    <dxf>
      <fill>
        <patternFill>
          <bgColor rgb="FFFF0000"/>
        </patternFill>
      </fill>
    </dxf>
    <dxf>
      <fill>
        <patternFill>
          <bgColor rgb="FF00B050"/>
        </patternFill>
      </fill>
    </dxf>
    <dxf>
      <fill>
        <patternFill>
          <bgColor theme="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patternFill>
      </fill>
    </dxf>
    <dxf>
      <fill>
        <patternFill>
          <bgColor rgb="FF00B050"/>
        </patternFill>
      </fill>
    </dxf>
    <dxf>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patternFill>
      </fill>
    </dxf>
    <dxf>
      <fill>
        <patternFill>
          <bgColor rgb="FF00B050"/>
        </patternFill>
      </fill>
    </dxf>
    <dxf>
      <fill>
        <patternFill>
          <bgColor rgb="FFFF0000"/>
        </patternFill>
      </fill>
    </dxf>
    <dxf>
      <font>
        <color theme="1"/>
      </font>
      <fill>
        <patternFill>
          <bgColor rgb="FFFF0000"/>
        </patternFill>
      </fill>
    </dxf>
    <dxf>
      <fill>
        <patternFill>
          <bgColor rgb="FF00B050"/>
        </patternFill>
      </fill>
    </dxf>
    <dxf>
      <fill>
        <patternFill>
          <bgColor rgb="FFFF0000"/>
        </patternFill>
      </fill>
    </dxf>
    <dxf>
      <fill>
        <patternFill>
          <bgColor rgb="FFFFCC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val="0"/>
      </font>
      <fill>
        <patternFill>
          <bgColor rgb="FFFF0000"/>
        </patternFill>
      </fill>
    </dxf>
    <dxf>
      <fill>
        <patternFill>
          <bgColor rgb="FF00B050"/>
        </patternFill>
      </fill>
    </dxf>
    <dxf>
      <fill>
        <patternFill>
          <bgColor rgb="FFFFFF00"/>
        </patternFill>
      </fill>
    </dxf>
    <dxf>
      <fill>
        <patternFill>
          <bgColor rgb="FFFF0000"/>
        </patternFill>
      </fill>
    </dxf>
    <dxf>
      <font>
        <b/>
        <i val="0"/>
      </font>
      <fill>
        <patternFill>
          <bgColor rgb="FFFFFF00"/>
        </patternFill>
      </fill>
    </dxf>
    <dxf>
      <font>
        <b/>
        <i val="0"/>
        <color theme="1"/>
      </font>
      <fill>
        <patternFill>
          <bgColor rgb="FF00B050"/>
        </patternFill>
      </fill>
    </dxf>
    <dxf>
      <fill>
        <patternFill>
          <bgColor rgb="FF00B050"/>
        </patternFill>
      </fill>
    </dxf>
    <dxf>
      <fill>
        <patternFill>
          <bgColor rgb="FF00B050"/>
        </patternFill>
      </fill>
    </dxf>
    <dxf>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patternFill>
      </fill>
    </dxf>
    <dxf>
      <fill>
        <patternFill>
          <bgColor rgb="FF00B050"/>
        </patternFill>
      </fill>
    </dxf>
    <dxf>
      <fill>
        <patternFill>
          <bgColor rgb="FF00B050"/>
        </patternFill>
      </fill>
    </dxf>
    <dxf>
      <fill>
        <patternFill>
          <bgColor rgb="FF00B050"/>
        </patternFill>
      </fill>
    </dxf>
    <dxf>
      <fill>
        <patternFill>
          <bgColor theme="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ont>
        <color theme="1"/>
      </font>
      <fill>
        <patternFill>
          <bgColor rgb="FFFF0000"/>
        </patternFill>
      </fill>
    </dxf>
    <dxf>
      <fill>
        <patternFill>
          <bgColor rgb="FFFF0000"/>
        </patternFill>
      </fill>
    </dxf>
    <dxf>
      <fill>
        <patternFill>
          <bgColor rgb="FFFFCC00"/>
        </patternFill>
      </fill>
    </dxf>
    <dxf>
      <fill>
        <patternFill>
          <bgColor rgb="FFFF0000"/>
        </patternFill>
      </fill>
    </dxf>
    <dxf>
      <fill>
        <patternFill>
          <bgColor rgb="FF00B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73B1DD"/>
      <rgbColor rgb="00FFFFFF"/>
      <rgbColor rgb="002274AC"/>
      <rgbColor rgb="008C5A28"/>
      <rgbColor rgb="00FFFFFF"/>
      <rgbColor rgb="00730019"/>
      <rgbColor rgb="00003C65"/>
      <rgbColor rgb="0033434C"/>
      <rgbColor rgb="0000B1EB"/>
      <rgbColor rgb="00FAAA00"/>
      <rgbColor rgb="00FFFFFF"/>
      <rgbColor rgb="00E4002C"/>
      <rgbColor rgb="00FFFFFF"/>
      <rgbColor rgb="00CFD7D9"/>
      <rgbColor rgb="00FFFFFF"/>
      <rgbColor rgb="00FFFFFF"/>
      <rgbColor rgb="00003C64"/>
      <rgbColor rgb="0073B1DD"/>
      <rgbColor rgb="008994A0"/>
      <rgbColor rgb="00CFD7D9"/>
      <rgbColor rgb="00336384"/>
      <rgbColor rgb="0099B1C1"/>
      <rgbColor rgb="005C6970"/>
      <rgbColor rgb="0033434C"/>
      <rgbColor rgb="00B9C900"/>
      <rgbColor rgb="0051AE30"/>
      <rgbColor rgb="00005D4D"/>
      <rgbColor rgb="0000413C"/>
      <rgbColor rgb="00FFD100"/>
      <rgbColor rgb="00FAAA00"/>
      <rgbColor rgb="00FF871F"/>
      <rgbColor rgb="008C5A28"/>
      <rgbColor rgb="00FFFFFF"/>
      <rgbColor rgb="00FFFFFF"/>
      <rgbColor rgb="00FFFFFF"/>
      <rgbColor rgb="00FFFFFF"/>
      <rgbColor rgb="00FFFFFF"/>
      <rgbColor rgb="00FFFFFF"/>
      <rgbColor rgb="00FFFFFF"/>
      <rgbColor rgb="00FFFFFF"/>
      <rgbColor rgb="00FFFFFF"/>
      <rgbColor rgb="008994A0"/>
      <rgbColor rgb="00C82D20"/>
      <rgbColor rgb="0000413C"/>
      <rgbColor rgb="00005D4D"/>
      <rgbColor rgb="0051AE30"/>
      <rgbColor rgb="00FFFFFF"/>
      <rgbColor rgb="00FFFFFF"/>
      <rgbColor rgb="00EAEEED"/>
      <rgbColor rgb="00FF871F"/>
      <rgbColor rgb="00FFD100"/>
      <rgbColor rgb="00EA4F44"/>
      <rgbColor rgb="00B9C900"/>
      <rgbColor rgb="00FFFFFF"/>
      <rgbColor rgb="00FFFFFF"/>
      <rgbColor rgb="00FFFFFF"/>
    </indexedColors>
    <mruColors>
      <color rgb="FF00FF00"/>
      <color rgb="FF000000"/>
      <color rgb="FFC1B6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a:t>Overview capacity individual</a:t>
            </a:r>
            <a:r>
              <a:rPr lang="de-DE" baseline="0"/>
              <a:t> stations</a:t>
            </a:r>
            <a:endParaRPr lang="de-DE"/>
          </a:p>
        </c:rich>
      </c:tx>
      <c:layout>
        <c:manualLayout>
          <c:xMode val="edge"/>
          <c:yMode val="edge"/>
          <c:x val="0.2655088002978731"/>
          <c:y val="3.8159364748205638E-2"/>
        </c:manualLayout>
      </c:layout>
      <c:overlay val="1"/>
    </c:title>
    <c:autoTitleDeleted val="0"/>
    <c:plotArea>
      <c:layout>
        <c:manualLayout>
          <c:layoutTarget val="inner"/>
          <c:xMode val="edge"/>
          <c:yMode val="edge"/>
          <c:x val="0.12566844637378075"/>
          <c:y val="0.10453004219774208"/>
          <c:w val="0.63093233496856416"/>
          <c:h val="0.84224490997237178"/>
        </c:manualLayout>
      </c:layout>
      <c:barChart>
        <c:barDir val="col"/>
        <c:grouping val="clustered"/>
        <c:varyColors val="0"/>
        <c:ser>
          <c:idx val="0"/>
          <c:order val="2"/>
          <c:tx>
            <c:strRef>
              <c:f>CapacitySFN!$B$13</c:f>
              <c:strCache>
                <c:ptCount val="1"/>
                <c:pt idx="0">
                  <c:v>Mesa de corte</c:v>
                </c:pt>
              </c:strCache>
            </c:strRef>
          </c:tx>
          <c:invertIfNegative val="0"/>
          <c:dLbls>
            <c:dLbl>
              <c:idx val="0"/>
              <c:layout>
                <c:manualLayout>
                  <c:x val="0"/>
                  <c:y val="2.6586065981589022E-3"/>
                </c:manualLayout>
              </c:layout>
              <c:tx>
                <c:rich>
                  <a:bodyPr/>
                  <a:lstStyle/>
                  <a:p>
                    <a:fld id="{806B77D9-6995-4C26-B366-5D5B54609A5D}" type="VALUE">
                      <a:rPr lang="en-US"/>
                      <a:pPr/>
                      <a:t>[VALOR]</a:t>
                    </a:fld>
                    <a:endParaRPr lang="es-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8E0E-4A55-A46C-BA5DB7E29F78}"/>
                </c:ext>
              </c:extLst>
            </c:dLbl>
            <c:numFmt formatCode="#,##0" sourceLinked="0"/>
            <c:spPr>
              <a:noFill/>
            </c:spPr>
            <c:txPr>
              <a:bodyPr rot="0" vert="horz"/>
              <a:lstStyle/>
              <a:p>
                <a:pPr>
                  <a:defRPr b="1"/>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individual stations</c:v>
              </c:pt>
            </c:strLit>
          </c:cat>
          <c:val>
            <c:numRef>
              <c:f>CapacitySFN!$G$12</c:f>
              <c:numCache>
                <c:formatCode>#,##0</c:formatCode>
                <c:ptCount val="1"/>
                <c:pt idx="0">
                  <c:v>2055.9</c:v>
                </c:pt>
              </c:numCache>
            </c:numRef>
          </c:val>
          <c:extLst>
            <c:ext xmlns:c16="http://schemas.microsoft.com/office/drawing/2014/chart" uri="{C3380CC4-5D6E-409C-BE32-E72D297353CC}">
              <c16:uniqueId val="{00000001-8E0E-4A55-A46C-BA5DB7E29F78}"/>
            </c:ext>
          </c:extLst>
        </c:ser>
        <c:ser>
          <c:idx val="1"/>
          <c:order val="3"/>
          <c:tx>
            <c:strRef>
              <c:f>CapacitySFN!$B$22</c:f>
              <c:strCache>
                <c:ptCount val="1"/>
                <c:pt idx="0">
                  <c:v>Costura</c:v>
                </c:pt>
              </c:strCache>
            </c:strRef>
          </c:tx>
          <c:invertIfNegative val="0"/>
          <c:dLbls>
            <c:dLbl>
              <c:idx val="0"/>
              <c:layout>
                <c:manualLayout>
                  <c:x val="0"/>
                  <c:y val="7.5311279848126083E-4"/>
                </c:manualLayout>
              </c:layout>
              <c:numFmt formatCode="#,##0" sourceLinked="0"/>
              <c:spPr>
                <a:noFill/>
              </c:spPr>
              <c:txPr>
                <a:bodyPr rot="0" vert="horz"/>
                <a:lstStyle/>
                <a:p>
                  <a:pPr>
                    <a:defRPr b="1"/>
                  </a:pPr>
                  <a:endParaRPr lang="es-A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E0E-4A55-A46C-BA5DB7E29F78}"/>
                </c:ext>
              </c:extLst>
            </c:dLbl>
            <c:spPr>
              <a:noFill/>
            </c:spPr>
            <c:txPr>
              <a:bodyPr rot="-5400000" vert="horz"/>
              <a:lstStyle/>
              <a:p>
                <a:pPr>
                  <a:defRPr b="1"/>
                </a:pPr>
                <a:endParaRPr lang="es-AR"/>
              </a:p>
            </c:txPr>
            <c:dLblPos val="ct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Lit>
              <c:ptCount val="1"/>
              <c:pt idx="0">
                <c:v>individual stations</c:v>
              </c:pt>
            </c:strLit>
          </c:cat>
          <c:val>
            <c:numRef>
              <c:f>CapacitySFN!$G$21</c:f>
              <c:numCache>
                <c:formatCode>#,##0</c:formatCode>
                <c:ptCount val="1"/>
                <c:pt idx="0">
                  <c:v>0</c:v>
                </c:pt>
              </c:numCache>
            </c:numRef>
          </c:val>
          <c:extLst>
            <c:ext xmlns:c16="http://schemas.microsoft.com/office/drawing/2014/chart" uri="{C3380CC4-5D6E-409C-BE32-E72D297353CC}">
              <c16:uniqueId val="{00000003-8E0E-4A55-A46C-BA5DB7E29F78}"/>
            </c:ext>
          </c:extLst>
        </c:ser>
        <c:ser>
          <c:idx val="2"/>
          <c:order val="4"/>
          <c:tx>
            <c:strRef>
              <c:f>CapacitySFN!$B$31</c:f>
              <c:strCache>
                <c:ptCount val="1"/>
                <c:pt idx="0">
                  <c:v>Proceso PIP</c:v>
                </c:pt>
              </c:strCache>
            </c:strRef>
          </c:tx>
          <c:invertIfNegative val="0"/>
          <c:dLbls>
            <c:dLbl>
              <c:idx val="0"/>
              <c:layout>
                <c:manualLayout>
                  <c:x val="0"/>
                  <c:y val="-1.49155571611907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E0E-4A55-A46C-BA5DB7E29F78}"/>
                </c:ext>
              </c:extLst>
            </c:dLbl>
            <c:numFmt formatCode="#,##0" sourceLinked="0"/>
            <c:spPr>
              <a:noFill/>
            </c:spPr>
            <c:txPr>
              <a:bodyPr rot="0" vert="horz"/>
              <a:lstStyle/>
              <a:p>
                <a:pPr>
                  <a:defRPr b="1" baseline="0"/>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individual stations</c:v>
              </c:pt>
            </c:strLit>
          </c:cat>
          <c:val>
            <c:numRef>
              <c:f>CapacitySFN!$G$30</c:f>
              <c:numCache>
                <c:formatCode>#,##0</c:formatCode>
                <c:ptCount val="1"/>
                <c:pt idx="0">
                  <c:v>0</c:v>
                </c:pt>
              </c:numCache>
            </c:numRef>
          </c:val>
          <c:extLst>
            <c:ext xmlns:c16="http://schemas.microsoft.com/office/drawing/2014/chart" uri="{C3380CC4-5D6E-409C-BE32-E72D297353CC}">
              <c16:uniqueId val="{00000005-8E0E-4A55-A46C-BA5DB7E29F78}"/>
            </c:ext>
          </c:extLst>
        </c:ser>
        <c:ser>
          <c:idx val="3"/>
          <c:order val="5"/>
          <c:tx>
            <c:strRef>
              <c:f>CapacitySFN!$B$40</c:f>
              <c:strCache>
                <c:ptCount val="1"/>
                <c:pt idx="0">
                  <c:v>xxx</c:v>
                </c:pt>
              </c:strCache>
            </c:strRef>
          </c:tx>
          <c:invertIfNegative val="0"/>
          <c:dLbls>
            <c:dLbl>
              <c:idx val="0"/>
              <c:layout>
                <c:manualLayout>
                  <c:x val="0"/>
                  <c:y val="2.391190577482510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E0E-4A55-A46C-BA5DB7E29F78}"/>
                </c:ext>
              </c:extLst>
            </c:dLbl>
            <c:spPr>
              <a:noFill/>
            </c:spPr>
            <c:txPr>
              <a:bodyPr rot="0" vert="horz"/>
              <a:lstStyle/>
              <a:p>
                <a:pPr>
                  <a:defRPr b="1"/>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individual stations</c:v>
              </c:pt>
            </c:strLit>
          </c:cat>
          <c:val>
            <c:numRef>
              <c:f>CapacitySFN!$G$39</c:f>
              <c:numCache>
                <c:formatCode>#,##0</c:formatCode>
                <c:ptCount val="1"/>
                <c:pt idx="0">
                  <c:v>0</c:v>
                </c:pt>
              </c:numCache>
            </c:numRef>
          </c:val>
          <c:extLst>
            <c:ext xmlns:c16="http://schemas.microsoft.com/office/drawing/2014/chart" uri="{C3380CC4-5D6E-409C-BE32-E72D297353CC}">
              <c16:uniqueId val="{00000007-8E0E-4A55-A46C-BA5DB7E29F78}"/>
            </c:ext>
          </c:extLst>
        </c:ser>
        <c:ser>
          <c:idx val="4"/>
          <c:order val="6"/>
          <c:tx>
            <c:strRef>
              <c:f>CapacitySFN!$I$13</c:f>
              <c:strCache>
                <c:ptCount val="1"/>
                <c:pt idx="0">
                  <c:v>xxx</c:v>
                </c:pt>
              </c:strCache>
            </c:strRef>
          </c:tx>
          <c:invertIfNegative val="0"/>
          <c:dLbls>
            <c:dLbl>
              <c:idx val="0"/>
              <c:layout>
                <c:manualLayout>
                  <c:x val="0"/>
                  <c:y val="1.58588589762552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E0E-4A55-A46C-BA5DB7E29F78}"/>
                </c:ext>
              </c:extLst>
            </c:dLbl>
            <c:spPr>
              <a:noFill/>
            </c:spPr>
            <c:txPr>
              <a:bodyPr rot="0" vert="horz"/>
              <a:lstStyle/>
              <a:p>
                <a:pPr>
                  <a:defRPr b="1"/>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individual stations</c:v>
              </c:pt>
            </c:strLit>
          </c:cat>
          <c:val>
            <c:numRef>
              <c:f>CapacitySFN!$N$12</c:f>
              <c:numCache>
                <c:formatCode>#,##0</c:formatCode>
                <c:ptCount val="1"/>
                <c:pt idx="0">
                  <c:v>0</c:v>
                </c:pt>
              </c:numCache>
            </c:numRef>
          </c:val>
          <c:extLst>
            <c:ext xmlns:c16="http://schemas.microsoft.com/office/drawing/2014/chart" uri="{C3380CC4-5D6E-409C-BE32-E72D297353CC}">
              <c16:uniqueId val="{00000009-8E0E-4A55-A46C-BA5DB7E29F78}"/>
            </c:ext>
          </c:extLst>
        </c:ser>
        <c:ser>
          <c:idx val="5"/>
          <c:order val="7"/>
          <c:tx>
            <c:strRef>
              <c:f>CapacitySFN!$I$22</c:f>
              <c:strCache>
                <c:ptCount val="1"/>
                <c:pt idx="0">
                  <c:v>xxx</c:v>
                </c:pt>
              </c:strCache>
            </c:strRef>
          </c:tx>
          <c:invertIfNegative val="0"/>
          <c:dLbls>
            <c:spPr>
              <a:noFill/>
            </c:spPr>
            <c:txPr>
              <a:bodyPr/>
              <a:lstStyle/>
              <a:p>
                <a:pPr>
                  <a:defRPr b="1"/>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individual stations</c:v>
              </c:pt>
            </c:strLit>
          </c:cat>
          <c:val>
            <c:numRef>
              <c:f>CapacitySFN!$N$21</c:f>
              <c:numCache>
                <c:formatCode>#,##0</c:formatCode>
                <c:ptCount val="1"/>
                <c:pt idx="0">
                  <c:v>0</c:v>
                </c:pt>
              </c:numCache>
            </c:numRef>
          </c:val>
          <c:extLst>
            <c:ext xmlns:c16="http://schemas.microsoft.com/office/drawing/2014/chart" uri="{C3380CC4-5D6E-409C-BE32-E72D297353CC}">
              <c16:uniqueId val="{0000000A-8E0E-4A55-A46C-BA5DB7E29F78}"/>
            </c:ext>
          </c:extLst>
        </c:ser>
        <c:ser>
          <c:idx val="6"/>
          <c:order val="8"/>
          <c:tx>
            <c:strRef>
              <c:f>CapacitySFN!$I$31</c:f>
              <c:strCache>
                <c:ptCount val="1"/>
                <c:pt idx="0">
                  <c:v>xxx</c:v>
                </c:pt>
              </c:strCache>
            </c:strRef>
          </c:tx>
          <c:spPr>
            <a:solidFill>
              <a:srgbClr val="FF0000"/>
            </a:solidFill>
          </c:spPr>
          <c:invertIfNegative val="0"/>
          <c:dLbls>
            <c:dLbl>
              <c:idx val="0"/>
              <c:layout>
                <c:manualLayout>
                  <c:x val="-1.1494251833265288E-3"/>
                  <c:y val="1.31693111041630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E0E-4A55-A46C-BA5DB7E29F78}"/>
                </c:ext>
              </c:extLst>
            </c:dLbl>
            <c:spPr>
              <a:noFill/>
            </c:spPr>
            <c:txPr>
              <a:bodyPr rot="0" vert="horz"/>
              <a:lstStyle/>
              <a:p>
                <a:pPr>
                  <a:defRPr b="1"/>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individual stations</c:v>
              </c:pt>
            </c:strLit>
          </c:cat>
          <c:val>
            <c:numRef>
              <c:f>CapacitySFN!$N$30</c:f>
              <c:numCache>
                <c:formatCode>#,##0</c:formatCode>
                <c:ptCount val="1"/>
                <c:pt idx="0">
                  <c:v>0</c:v>
                </c:pt>
              </c:numCache>
            </c:numRef>
          </c:val>
          <c:extLst>
            <c:ext xmlns:c16="http://schemas.microsoft.com/office/drawing/2014/chart" uri="{C3380CC4-5D6E-409C-BE32-E72D297353CC}">
              <c16:uniqueId val="{0000000C-8E0E-4A55-A46C-BA5DB7E29F78}"/>
            </c:ext>
          </c:extLst>
        </c:ser>
        <c:ser>
          <c:idx val="9"/>
          <c:order val="9"/>
          <c:tx>
            <c:strRef>
              <c:f>CapacitySFN!$I$40</c:f>
              <c:strCache>
                <c:ptCount val="1"/>
                <c:pt idx="0">
                  <c:v>xxx</c:v>
                </c:pt>
              </c:strCache>
            </c:strRef>
          </c:tx>
          <c:spPr>
            <a:solidFill>
              <a:schemeClr val="bg2">
                <a:lumMod val="60000"/>
                <a:lumOff val="40000"/>
              </a:schemeClr>
            </a:solidFill>
          </c:spPr>
          <c:invertIfNegative val="0"/>
          <c:dLbls>
            <c:spPr>
              <a:noFill/>
            </c:spPr>
            <c:txPr>
              <a:bodyPr/>
              <a:lstStyle/>
              <a:p>
                <a:pPr>
                  <a:defRPr b="1"/>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individual stations</c:v>
              </c:pt>
            </c:strLit>
          </c:cat>
          <c:val>
            <c:numRef>
              <c:f>CapacitySFN!$N$39</c:f>
              <c:numCache>
                <c:formatCode>#,##0</c:formatCode>
                <c:ptCount val="1"/>
                <c:pt idx="0">
                  <c:v>0</c:v>
                </c:pt>
              </c:numCache>
            </c:numRef>
          </c:val>
          <c:extLst>
            <c:ext xmlns:c16="http://schemas.microsoft.com/office/drawing/2014/chart" uri="{C3380CC4-5D6E-409C-BE32-E72D297353CC}">
              <c16:uniqueId val="{0000000D-8E0E-4A55-A46C-BA5DB7E29F78}"/>
            </c:ext>
          </c:extLst>
        </c:ser>
        <c:ser>
          <c:idx val="7"/>
          <c:order val="10"/>
          <c:tx>
            <c:strRef>
              <c:f>CapacitySFN!$P$13</c:f>
              <c:strCache>
                <c:ptCount val="1"/>
                <c:pt idx="0">
                  <c:v>xxx</c:v>
                </c:pt>
              </c:strCache>
            </c:strRef>
          </c:tx>
          <c:spPr>
            <a:solidFill>
              <a:srgbClr val="C1B6E0"/>
            </a:solidFill>
          </c:spPr>
          <c:invertIfNegative val="0"/>
          <c:dLbls>
            <c:dLbl>
              <c:idx val="0"/>
              <c:layout>
                <c:manualLayout>
                  <c:x val="0"/>
                  <c:y val="2.7803842837148297E-3"/>
                </c:manualLayout>
              </c:layout>
              <c:spPr>
                <a:noFill/>
              </c:spPr>
              <c:txPr>
                <a:bodyPr rot="0" vert="horz"/>
                <a:lstStyle/>
                <a:p>
                  <a:pPr>
                    <a:defRPr b="1"/>
                  </a:pPr>
                  <a:endParaRPr lang="es-A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E0E-4A55-A46C-BA5DB7E29F78}"/>
                </c:ext>
              </c:extLst>
            </c:dLbl>
            <c:spPr>
              <a:noFill/>
            </c:spPr>
            <c:txPr>
              <a:bodyPr rot="-5400000" vert="horz"/>
              <a:lstStyle/>
              <a:p>
                <a:pPr>
                  <a:defRPr b="1"/>
                </a:pPr>
                <a:endParaRPr lang="es-A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individual stations</c:v>
              </c:pt>
            </c:strLit>
          </c:cat>
          <c:val>
            <c:numRef>
              <c:f>CapacitySFN!$U$12</c:f>
              <c:numCache>
                <c:formatCode>#,##0</c:formatCode>
                <c:ptCount val="1"/>
                <c:pt idx="0">
                  <c:v>0</c:v>
                </c:pt>
              </c:numCache>
            </c:numRef>
          </c:val>
          <c:extLst>
            <c:ext xmlns:c16="http://schemas.microsoft.com/office/drawing/2014/chart" uri="{C3380CC4-5D6E-409C-BE32-E72D297353CC}">
              <c16:uniqueId val="{0000000F-8E0E-4A55-A46C-BA5DB7E29F78}"/>
            </c:ext>
          </c:extLst>
        </c:ser>
        <c:ser>
          <c:idx val="10"/>
          <c:order val="11"/>
          <c:tx>
            <c:strRef>
              <c:f>CapacitySFN!$P$22</c:f>
              <c:strCache>
                <c:ptCount val="1"/>
                <c:pt idx="0">
                  <c:v>xxx</c:v>
                </c:pt>
              </c:strCache>
            </c:strRef>
          </c:tx>
          <c:spPr>
            <a:solidFill>
              <a:schemeClr val="accent4">
                <a:lumMod val="25000"/>
                <a:lumOff val="75000"/>
              </a:schemeClr>
            </a:solidFill>
          </c:spPr>
          <c:invertIfNegative val="0"/>
          <c:dLbls>
            <c:spPr>
              <a:noFill/>
              <a:ln>
                <a:noFill/>
              </a:ln>
              <a:effectLst/>
            </c:spPr>
            <c:txPr>
              <a:bodyPr/>
              <a:lstStyle/>
              <a:p>
                <a:pPr>
                  <a:defRPr b="1"/>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individual stations</c:v>
              </c:pt>
            </c:strLit>
          </c:cat>
          <c:val>
            <c:numRef>
              <c:f>CapacitySFN!$U$21</c:f>
              <c:numCache>
                <c:formatCode>#,##0</c:formatCode>
                <c:ptCount val="1"/>
                <c:pt idx="0">
                  <c:v>0</c:v>
                </c:pt>
              </c:numCache>
            </c:numRef>
          </c:val>
          <c:extLst>
            <c:ext xmlns:c16="http://schemas.microsoft.com/office/drawing/2014/chart" uri="{C3380CC4-5D6E-409C-BE32-E72D297353CC}">
              <c16:uniqueId val="{00000010-8E0E-4A55-A46C-BA5DB7E29F78}"/>
            </c:ext>
          </c:extLst>
        </c:ser>
        <c:ser>
          <c:idx val="11"/>
          <c:order val="12"/>
          <c:tx>
            <c:strRef>
              <c:f>CapacitySFN!$P$31</c:f>
              <c:strCache>
                <c:ptCount val="1"/>
                <c:pt idx="0">
                  <c:v>xxx</c:v>
                </c:pt>
              </c:strCache>
            </c:strRef>
          </c:tx>
          <c:invertIfNegative val="0"/>
          <c:dLbls>
            <c:spPr>
              <a:noFill/>
            </c:spPr>
            <c:txPr>
              <a:bodyPr/>
              <a:lstStyle/>
              <a:p>
                <a:pPr>
                  <a:defRPr b="1"/>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individual stations</c:v>
              </c:pt>
            </c:strLit>
          </c:cat>
          <c:val>
            <c:numRef>
              <c:f>CapacitySFN!$U$30</c:f>
              <c:numCache>
                <c:formatCode>#,##0</c:formatCode>
                <c:ptCount val="1"/>
                <c:pt idx="0">
                  <c:v>0</c:v>
                </c:pt>
              </c:numCache>
            </c:numRef>
          </c:val>
          <c:extLst>
            <c:ext xmlns:c16="http://schemas.microsoft.com/office/drawing/2014/chart" uri="{C3380CC4-5D6E-409C-BE32-E72D297353CC}">
              <c16:uniqueId val="{00000011-8E0E-4A55-A46C-BA5DB7E29F78}"/>
            </c:ext>
          </c:extLst>
        </c:ser>
        <c:ser>
          <c:idx val="12"/>
          <c:order val="13"/>
          <c:tx>
            <c:strRef>
              <c:f>CapacitySFN!$P$40</c:f>
              <c:strCache>
                <c:ptCount val="1"/>
                <c:pt idx="0">
                  <c:v>xxx</c:v>
                </c:pt>
              </c:strCache>
            </c:strRef>
          </c:tx>
          <c:spPr>
            <a:solidFill>
              <a:srgbClr val="FFFF00"/>
            </a:solidFill>
          </c:spPr>
          <c:invertIfNegative val="0"/>
          <c:dLbls>
            <c:dLbl>
              <c:idx val="0"/>
              <c:layout>
                <c:manualLayout>
                  <c:x val="0"/>
                  <c:y val="6.289135815107064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E0E-4A55-A46C-BA5DB7E29F78}"/>
                </c:ext>
              </c:extLst>
            </c:dLbl>
            <c:spPr>
              <a:noFill/>
              <a:ln>
                <a:noFill/>
              </a:ln>
              <a:effectLst/>
            </c:spPr>
            <c:txPr>
              <a:bodyPr/>
              <a:lstStyle/>
              <a:p>
                <a:pPr>
                  <a:defRPr b="1"/>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
              <c:pt idx="0">
                <c:v>individual stations</c:v>
              </c:pt>
            </c:strLit>
          </c:cat>
          <c:val>
            <c:numRef>
              <c:f>CapacitySFN!$U$39</c:f>
              <c:numCache>
                <c:formatCode>#,##0</c:formatCode>
                <c:ptCount val="1"/>
                <c:pt idx="0">
                  <c:v>0</c:v>
                </c:pt>
              </c:numCache>
            </c:numRef>
          </c:val>
          <c:extLst>
            <c:ext xmlns:c16="http://schemas.microsoft.com/office/drawing/2014/chart" uri="{C3380CC4-5D6E-409C-BE32-E72D297353CC}">
              <c16:uniqueId val="{00000013-8E0E-4A55-A46C-BA5DB7E29F78}"/>
            </c:ext>
          </c:extLst>
        </c:ser>
        <c:dLbls>
          <c:showLegendKey val="0"/>
          <c:showVal val="0"/>
          <c:showCatName val="0"/>
          <c:showSerName val="0"/>
          <c:showPercent val="0"/>
          <c:showBubbleSize val="0"/>
        </c:dLbls>
        <c:gapWidth val="334"/>
        <c:overlap val="-77"/>
        <c:axId val="42223616"/>
        <c:axId val="100317952"/>
      </c:barChart>
      <c:barChart>
        <c:barDir val="col"/>
        <c:grouping val="clustered"/>
        <c:varyColors val="0"/>
        <c:ser>
          <c:idx val="8"/>
          <c:order val="0"/>
          <c:tx>
            <c:strRef>
              <c:f>DiagramSFN!$B$5:$D$5</c:f>
              <c:strCache>
                <c:ptCount val="3"/>
                <c:pt idx="0">
                  <c:v>Max. - demand VW Group</c:v>
                </c:pt>
              </c:strCache>
            </c:strRef>
          </c:tx>
          <c:spPr>
            <a:solidFill>
              <a:schemeClr val="bg2">
                <a:lumMod val="75000"/>
                <a:alpha val="2000"/>
              </a:schemeClr>
            </a:solidFill>
            <a:ln w="22225" cmpd="sng">
              <a:solidFill>
                <a:srgbClr val="0070C0"/>
              </a:solidFill>
            </a:ln>
          </c:spPr>
          <c:invertIfNegative val="0"/>
          <c:cat>
            <c:strLit>
              <c:ptCount val="1"/>
              <c:pt idx="0">
                <c:v>Station</c:v>
              </c:pt>
            </c:strLit>
          </c:cat>
          <c:val>
            <c:numRef>
              <c:f>DiagramSFN!$F$5</c:f>
              <c:numCache>
                <c:formatCode>#,##0</c:formatCode>
                <c:ptCount val="1"/>
                <c:pt idx="0">
                  <c:v>2035.4999999999998</c:v>
                </c:pt>
              </c:numCache>
            </c:numRef>
          </c:val>
          <c:extLst>
            <c:ext xmlns:c16="http://schemas.microsoft.com/office/drawing/2014/chart" uri="{C3380CC4-5D6E-409C-BE32-E72D297353CC}">
              <c16:uniqueId val="{00000014-8E0E-4A55-A46C-BA5DB7E29F78}"/>
            </c:ext>
          </c:extLst>
        </c:ser>
        <c:ser>
          <c:idx val="14"/>
          <c:order val="1"/>
          <c:tx>
            <c:strRef>
              <c:f>DiagramSFN!$B$7</c:f>
              <c:strCache>
                <c:ptCount val="1"/>
                <c:pt idx="0">
                  <c:v>Normal - demand VW Group</c:v>
                </c:pt>
              </c:strCache>
            </c:strRef>
          </c:tx>
          <c:spPr>
            <a:noFill/>
            <a:ln w="22225">
              <a:solidFill>
                <a:srgbClr val="000000"/>
              </a:solidFill>
            </a:ln>
          </c:spPr>
          <c:invertIfNegative val="0"/>
          <c:dPt>
            <c:idx val="0"/>
            <c:invertIfNegative val="0"/>
            <c:bubble3D val="0"/>
            <c:extLst>
              <c:ext xmlns:c16="http://schemas.microsoft.com/office/drawing/2014/chart" uri="{C3380CC4-5D6E-409C-BE32-E72D297353CC}">
                <c16:uniqueId val="{00000015-8E0E-4A55-A46C-BA5DB7E29F78}"/>
              </c:ext>
            </c:extLst>
          </c:dPt>
          <c:cat>
            <c:strLit>
              <c:ptCount val="1"/>
              <c:pt idx="0">
                <c:v>Station</c:v>
              </c:pt>
            </c:strLit>
          </c:cat>
          <c:val>
            <c:numRef>
              <c:f>DiagramSFN!$F$7</c:f>
              <c:numCache>
                <c:formatCode>#,##0</c:formatCode>
                <c:ptCount val="1"/>
                <c:pt idx="0">
                  <c:v>1770</c:v>
                </c:pt>
              </c:numCache>
            </c:numRef>
          </c:val>
          <c:extLst>
            <c:ext xmlns:c16="http://schemas.microsoft.com/office/drawing/2014/chart" uri="{C3380CC4-5D6E-409C-BE32-E72D297353CC}">
              <c16:uniqueId val="{00000016-8E0E-4A55-A46C-BA5DB7E29F78}"/>
            </c:ext>
          </c:extLst>
        </c:ser>
        <c:dLbls>
          <c:showLegendKey val="0"/>
          <c:showVal val="0"/>
          <c:showCatName val="0"/>
          <c:showSerName val="0"/>
          <c:showPercent val="0"/>
          <c:showBubbleSize val="0"/>
        </c:dLbls>
        <c:gapWidth val="0"/>
        <c:overlap val="100"/>
        <c:axId val="42224128"/>
        <c:axId val="100315072"/>
      </c:barChart>
      <c:catAx>
        <c:axId val="42223616"/>
        <c:scaling>
          <c:orientation val="minMax"/>
        </c:scaling>
        <c:delete val="0"/>
        <c:axPos val="b"/>
        <c:numFmt formatCode="#,##0" sourceLinked="0"/>
        <c:majorTickMark val="out"/>
        <c:minorTickMark val="none"/>
        <c:tickLblPos val="nextTo"/>
        <c:crossAx val="100317952"/>
        <c:crosses val="autoZero"/>
        <c:auto val="1"/>
        <c:lblAlgn val="ctr"/>
        <c:lblOffset val="100"/>
        <c:noMultiLvlLbl val="0"/>
      </c:catAx>
      <c:valAx>
        <c:axId val="100317952"/>
        <c:scaling>
          <c:orientation val="minMax"/>
        </c:scaling>
        <c:delete val="0"/>
        <c:axPos val="l"/>
        <c:majorGridlines/>
        <c:minorGridlines/>
        <c:title>
          <c:tx>
            <c:rich>
              <a:bodyPr rot="-5400000" vert="horz"/>
              <a:lstStyle/>
              <a:p>
                <a:pPr>
                  <a:defRPr/>
                </a:pPr>
                <a:r>
                  <a:rPr lang="de-DE"/>
                  <a:t>Capacity psc/week</a:t>
                </a:r>
              </a:p>
            </c:rich>
          </c:tx>
          <c:layout>
            <c:manualLayout>
              <c:xMode val="edge"/>
              <c:yMode val="edge"/>
              <c:x val="2.8839704896042925E-2"/>
              <c:y val="0.34927978838608514"/>
            </c:manualLayout>
          </c:layout>
          <c:overlay val="0"/>
        </c:title>
        <c:numFmt formatCode="#,##0" sourceLinked="1"/>
        <c:majorTickMark val="out"/>
        <c:minorTickMark val="none"/>
        <c:tickLblPos val="nextTo"/>
        <c:txPr>
          <a:bodyPr rot="0" vert="horz" anchor="t" anchorCtr="0"/>
          <a:lstStyle/>
          <a:p>
            <a:pPr>
              <a:defRPr/>
            </a:pPr>
            <a:endParaRPr lang="es-AR"/>
          </a:p>
        </c:txPr>
        <c:crossAx val="42223616"/>
        <c:crosses val="autoZero"/>
        <c:crossBetween val="between"/>
      </c:valAx>
      <c:valAx>
        <c:axId val="100315072"/>
        <c:scaling>
          <c:orientation val="minMax"/>
        </c:scaling>
        <c:delete val="1"/>
        <c:axPos val="r"/>
        <c:numFmt formatCode="#,##0" sourceLinked="1"/>
        <c:majorTickMark val="out"/>
        <c:minorTickMark val="none"/>
        <c:tickLblPos val="nextTo"/>
        <c:crossAx val="42224128"/>
        <c:crosses val="max"/>
        <c:crossBetween val="between"/>
      </c:valAx>
      <c:catAx>
        <c:axId val="42224128"/>
        <c:scaling>
          <c:orientation val="minMax"/>
        </c:scaling>
        <c:delete val="1"/>
        <c:axPos val="b"/>
        <c:numFmt formatCode="General" sourceLinked="1"/>
        <c:majorTickMark val="out"/>
        <c:minorTickMark val="none"/>
        <c:tickLblPos val="nextTo"/>
        <c:crossAx val="100315072"/>
        <c:crosses val="autoZero"/>
        <c:auto val="1"/>
        <c:lblAlgn val="ctr"/>
        <c:lblOffset val="100"/>
        <c:noMultiLvlLbl val="0"/>
      </c:catAx>
      <c:spPr>
        <a:ln w="22225">
          <a:solidFill>
            <a:schemeClr val="bg1">
              <a:lumMod val="50000"/>
            </a:schemeClr>
          </a:solidFill>
        </a:ln>
        <a:effectLst>
          <a:softEdge rad="31750"/>
        </a:effectLst>
      </c:spPr>
    </c:plotArea>
    <c:legend>
      <c:legendPos val="r"/>
      <c:legendEntry>
        <c:idx val="12"/>
        <c:delete val="1"/>
      </c:legendEntry>
      <c:legendEntry>
        <c:idx val="13"/>
        <c:delete val="1"/>
      </c:legendEntry>
      <c:layout>
        <c:manualLayout>
          <c:xMode val="edge"/>
          <c:yMode val="edge"/>
          <c:x val="0.75643803328920645"/>
          <c:y val="2.2941888504384545E-2"/>
          <c:w val="0.22007553839831323"/>
          <c:h val="0.92181474935306973"/>
        </c:manualLayout>
      </c:layout>
      <c:overlay val="0"/>
      <c:spPr>
        <a:ln>
          <a:noFill/>
        </a:ln>
      </c:spPr>
    </c:legend>
    <c:plotVisOnly val="1"/>
    <c:dispBlanksAs val="gap"/>
    <c:showDLblsOverMax val="0"/>
  </c:chart>
  <c:spPr>
    <a:noFill/>
    <a:ln>
      <a:solidFill>
        <a:schemeClr val="accent1">
          <a:lumMod val="50000"/>
        </a:schemeClr>
      </a:solidFill>
    </a:ln>
    <a:effectLst/>
    <a:scene3d>
      <a:camera prst="orthographicFront"/>
      <a:lightRig rig="threePt" dir="t"/>
    </a:scene3d>
    <a:sp3d>
      <a:bevelT w="6350"/>
    </a:sp3d>
  </c:spPr>
  <c:printSettings>
    <c:headerFooter/>
    <c:pageMargins b="0.78740157499999996" l="0.7" r="0.7" t="0.78740157499999996" header="0.3" footer="0.3"/>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28731</xdr:colOff>
      <xdr:row>0</xdr:row>
      <xdr:rowOff>34910</xdr:rowOff>
    </xdr:from>
    <xdr:to>
      <xdr:col>8</xdr:col>
      <xdr:colOff>1172881</xdr:colOff>
      <xdr:row>2</xdr:row>
      <xdr:rowOff>127779</xdr:rowOff>
    </xdr:to>
    <xdr:grpSp>
      <xdr:nvGrpSpPr>
        <xdr:cNvPr id="2" name="Gruppieren 3">
          <a:extLst>
            <a:ext uri="{FF2B5EF4-FFF2-40B4-BE49-F238E27FC236}">
              <a16:creationId xmlns:a16="http://schemas.microsoft.com/office/drawing/2014/main" id="{00000000-0008-0000-0100-000002000000}"/>
            </a:ext>
          </a:extLst>
        </xdr:cNvPr>
        <xdr:cNvGrpSpPr/>
      </xdr:nvGrpSpPr>
      <xdr:grpSpPr>
        <a:xfrm>
          <a:off x="127679" y="34910"/>
          <a:ext cx="6806482" cy="477679"/>
          <a:chOff x="806823" y="-50427"/>
          <a:chExt cx="6564260" cy="473869"/>
        </a:xfrm>
      </xdr:grpSpPr>
      <xdr:pic>
        <xdr:nvPicPr>
          <xdr:cNvPr id="3" name="Picture 5">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6823" y="-43890"/>
            <a:ext cx="240506" cy="25717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 name="Rectangle 6">
            <a:extLst>
              <a:ext uri="{FF2B5EF4-FFF2-40B4-BE49-F238E27FC236}">
                <a16:creationId xmlns:a16="http://schemas.microsoft.com/office/drawing/2014/main" id="{00000000-0008-0000-0100-000004000000}"/>
              </a:ext>
            </a:extLst>
          </xdr:cNvPr>
          <xdr:cNvSpPr>
            <a:spLocks noChangeArrowheads="1"/>
          </xdr:cNvSpPr>
        </xdr:nvSpPr>
        <xdr:spPr bwMode="auto">
          <a:xfrm>
            <a:off x="1075765" y="-50427"/>
            <a:ext cx="6295318" cy="473869"/>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9525">
                <a:solidFill>
                  <a:srgbClr val="80808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2075" tIns="46038" rIns="92075" bIns="46038"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de-DE" sz="1400" b="1" i="0" u="none" strike="noStrike" kern="0" cap="none" spc="0" normalizeH="0" baseline="0" noProof="0">
                <a:ln>
                  <a:noFill/>
                </a:ln>
                <a:solidFill>
                  <a:srgbClr val="000000"/>
                </a:solidFill>
                <a:effectLst/>
                <a:uLnTx/>
                <a:uFillTx/>
                <a:latin typeface="+mn-lt"/>
                <a:ea typeface="+mn-ea"/>
                <a:cs typeface="Arial"/>
              </a:rPr>
              <a:t>M-BN-L    Beschaffung Neue Produktanläufe Lieferantenmanagement </a:t>
            </a:r>
          </a:p>
          <a:p>
            <a:pPr algn="l" rtl="0">
              <a:defRPr sz="1000"/>
            </a:pPr>
            <a:endParaRPr lang="de-DE" sz="1400" b="1" i="0" u="none" strike="noStrike" baseline="0">
              <a:solidFill>
                <a:srgbClr val="000000"/>
              </a:solidFill>
              <a:latin typeface="Arial"/>
              <a:cs typeface="Aria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100284</xdr:colOff>
      <xdr:row>0</xdr:row>
      <xdr:rowOff>62752</xdr:rowOff>
    </xdr:from>
    <xdr:to>
      <xdr:col>8</xdr:col>
      <xdr:colOff>108549</xdr:colOff>
      <xdr:row>2</xdr:row>
      <xdr:rowOff>155621</xdr:rowOff>
    </xdr:to>
    <xdr:grpSp>
      <xdr:nvGrpSpPr>
        <xdr:cNvPr id="2" name="Gruppieren 26">
          <a:extLst>
            <a:ext uri="{FF2B5EF4-FFF2-40B4-BE49-F238E27FC236}">
              <a16:creationId xmlns:a16="http://schemas.microsoft.com/office/drawing/2014/main" id="{00000000-0008-0000-0200-000002000000}"/>
            </a:ext>
          </a:extLst>
        </xdr:cNvPr>
        <xdr:cNvGrpSpPr/>
      </xdr:nvGrpSpPr>
      <xdr:grpSpPr>
        <a:xfrm>
          <a:off x="96474" y="58942"/>
          <a:ext cx="7671583" cy="477679"/>
          <a:chOff x="862559" y="-50427"/>
          <a:chExt cx="5649600" cy="473869"/>
        </a:xfrm>
      </xdr:grpSpPr>
      <xdr:pic>
        <xdr:nvPicPr>
          <xdr:cNvPr id="3" name="Picture 5">
            <a:extLst>
              <a:ext uri="{FF2B5EF4-FFF2-40B4-BE49-F238E27FC236}">
                <a16:creationId xmlns:a16="http://schemas.microsoft.com/office/drawing/2014/main" id="{00000000-0008-0000-0200-00000300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2559" y="-47065"/>
            <a:ext cx="221200" cy="3024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 name="Rectangle 6">
            <a:extLst>
              <a:ext uri="{FF2B5EF4-FFF2-40B4-BE49-F238E27FC236}">
                <a16:creationId xmlns:a16="http://schemas.microsoft.com/office/drawing/2014/main" id="{00000000-0008-0000-0200-000004000000}"/>
              </a:ext>
            </a:extLst>
          </xdr:cNvPr>
          <xdr:cNvSpPr>
            <a:spLocks noChangeArrowheads="1"/>
          </xdr:cNvSpPr>
        </xdr:nvSpPr>
        <xdr:spPr bwMode="auto">
          <a:xfrm>
            <a:off x="1075765" y="-50427"/>
            <a:ext cx="5436394" cy="473869"/>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9525">
                <a:solidFill>
                  <a:srgbClr val="80808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2075" tIns="46038" rIns="92075" bIns="46038"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de-DE" sz="1400" b="1" i="0" u="none" strike="noStrike" kern="0" cap="none" spc="0" normalizeH="0" baseline="0" noProof="0">
                <a:ln>
                  <a:noFill/>
                </a:ln>
                <a:solidFill>
                  <a:srgbClr val="000000"/>
                </a:solidFill>
                <a:effectLst/>
                <a:uLnTx/>
                <a:uFillTx/>
                <a:latin typeface="+mn-lt"/>
                <a:ea typeface="+mn-ea"/>
                <a:cs typeface="Arial"/>
              </a:rPr>
              <a:t>M-BN-L    Beschaffung Neue Produktanläufe Lieferantenmanagement </a:t>
            </a:r>
          </a:p>
          <a:p>
            <a:pPr algn="l" rtl="0">
              <a:defRPr sz="1000"/>
            </a:pPr>
            <a:r>
              <a:rPr lang="de-DE" sz="1400" b="1" i="0" u="none" strike="noStrike" baseline="0">
                <a:solidFill>
                  <a:srgbClr val="000000"/>
                </a:solidFill>
                <a:latin typeface="Arial"/>
                <a:cs typeface="Arial"/>
              </a:rPr>
              <a:t>t</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196851</xdr:colOff>
      <xdr:row>9</xdr:row>
      <xdr:rowOff>1</xdr:rowOff>
    </xdr:from>
    <xdr:to>
      <xdr:col>15</xdr:col>
      <xdr:colOff>10583</xdr:colOff>
      <xdr:row>40</xdr:row>
      <xdr:rowOff>74083</xdr:rowOff>
    </xdr:to>
    <xdr:graphicFrame macro="">
      <xdr:nvGraphicFramePr>
        <xdr:cNvPr id="2" name="Kapazitäten" title="Kapazitäten pro Station">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272002</xdr:colOff>
      <xdr:row>4</xdr:row>
      <xdr:rowOff>95250</xdr:rowOff>
    </xdr:from>
    <xdr:to>
      <xdr:col>8</xdr:col>
      <xdr:colOff>481552</xdr:colOff>
      <xdr:row>4</xdr:row>
      <xdr:rowOff>95250</xdr:rowOff>
    </xdr:to>
    <xdr:cxnSp macro="">
      <xdr:nvCxnSpPr>
        <xdr:cNvPr id="3" name="Gerade Verbindung 5">
          <a:extLst>
            <a:ext uri="{FF2B5EF4-FFF2-40B4-BE49-F238E27FC236}">
              <a16:creationId xmlns:a16="http://schemas.microsoft.com/office/drawing/2014/main" id="{00000000-0008-0000-0300-000003000000}"/>
            </a:ext>
          </a:extLst>
        </xdr:cNvPr>
        <xdr:cNvCxnSpPr/>
      </xdr:nvCxnSpPr>
      <xdr:spPr>
        <a:xfrm>
          <a:off x="5282152" y="787400"/>
          <a:ext cx="1009650" cy="0"/>
        </a:xfrm>
        <a:prstGeom prst="line">
          <a:avLst/>
        </a:prstGeom>
        <a:ln w="349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42332</xdr:colOff>
      <xdr:row>0</xdr:row>
      <xdr:rowOff>52915</xdr:rowOff>
    </xdr:from>
    <xdr:to>
      <xdr:col>1</xdr:col>
      <xdr:colOff>297246</xdr:colOff>
      <xdr:row>1</xdr:row>
      <xdr:rowOff>151340</xdr:rowOff>
    </xdr:to>
    <xdr:pic>
      <xdr:nvPicPr>
        <xdr:cNvPr id="4" name="Picture 5">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1882" y="52915"/>
          <a:ext cx="254914" cy="250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275158</xdr:colOff>
      <xdr:row>0</xdr:row>
      <xdr:rowOff>31749</xdr:rowOff>
    </xdr:from>
    <xdr:to>
      <xdr:col>12</xdr:col>
      <xdr:colOff>672353</xdr:colOff>
      <xdr:row>2</xdr:row>
      <xdr:rowOff>188118</xdr:rowOff>
    </xdr:to>
    <xdr:sp macro="" textlink="">
      <xdr:nvSpPr>
        <xdr:cNvPr id="5" name="Rectangle 6">
          <a:extLst>
            <a:ext uri="{FF2B5EF4-FFF2-40B4-BE49-F238E27FC236}">
              <a16:creationId xmlns:a16="http://schemas.microsoft.com/office/drawing/2014/main" id="{00000000-0008-0000-0300-000005000000}"/>
            </a:ext>
          </a:extLst>
        </xdr:cNvPr>
        <xdr:cNvSpPr>
          <a:spLocks noChangeArrowheads="1"/>
        </xdr:cNvSpPr>
      </xdr:nvSpPr>
      <xdr:spPr bwMode="auto">
        <a:xfrm>
          <a:off x="484334" y="31749"/>
          <a:ext cx="9242372" cy="455193"/>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9525">
              <a:solidFill>
                <a:srgbClr val="80808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2075" tIns="46038" rIns="92075" bIns="46038" anchor="t" upright="1"/>
        <a:lstStyle/>
        <a:p>
          <a:pPr algn="l" rtl="0">
            <a:defRPr sz="1000"/>
          </a:pPr>
          <a:r>
            <a:rPr lang="de-DE" sz="1400" b="1" i="0" u="none" strike="noStrike" baseline="0">
              <a:solidFill>
                <a:srgbClr val="000000"/>
              </a:solidFill>
              <a:latin typeface="+mn-lt"/>
              <a:cs typeface="Arial"/>
            </a:rPr>
            <a:t>M-BN-L    Beschaffung Neue Produktanläufe Lieferantenmanagement </a:t>
          </a:r>
        </a:p>
      </xdr:txBody>
    </xdr:sp>
    <xdr:clientData/>
  </xdr:twoCellAnchor>
  <xdr:twoCellAnchor>
    <xdr:from>
      <xdr:col>7</xdr:col>
      <xdr:colOff>279420</xdr:colOff>
      <xdr:row>6</xdr:row>
      <xdr:rowOff>84664</xdr:rowOff>
    </xdr:from>
    <xdr:to>
      <xdr:col>8</xdr:col>
      <xdr:colOff>488970</xdr:colOff>
      <xdr:row>6</xdr:row>
      <xdr:rowOff>84664</xdr:rowOff>
    </xdr:to>
    <xdr:cxnSp macro="">
      <xdr:nvCxnSpPr>
        <xdr:cNvPr id="6" name="Gerade Verbindung 14">
          <a:extLst>
            <a:ext uri="{FF2B5EF4-FFF2-40B4-BE49-F238E27FC236}">
              <a16:creationId xmlns:a16="http://schemas.microsoft.com/office/drawing/2014/main" id="{00000000-0008-0000-0300-000006000000}"/>
            </a:ext>
          </a:extLst>
        </xdr:cNvPr>
        <xdr:cNvCxnSpPr/>
      </xdr:nvCxnSpPr>
      <xdr:spPr>
        <a:xfrm>
          <a:off x="5289570" y="1094314"/>
          <a:ext cx="1009650" cy="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oneCellAnchor>
    <xdr:from>
      <xdr:col>6</xdr:col>
      <xdr:colOff>91231</xdr:colOff>
      <xdr:row>16</xdr:row>
      <xdr:rowOff>67676</xdr:rowOff>
    </xdr:from>
    <xdr:ext cx="220587" cy="210553"/>
    <xdr:sp macro="" textlink="" fLocksText="0">
      <xdr:nvSpPr>
        <xdr:cNvPr id="2" name="Textfeld 53">
          <a:extLst>
            <a:ext uri="{FF2B5EF4-FFF2-40B4-BE49-F238E27FC236}">
              <a16:creationId xmlns:a16="http://schemas.microsoft.com/office/drawing/2014/main" id="{00000000-0008-0000-0500-000002000000}"/>
            </a:ext>
          </a:extLst>
        </xdr:cNvPr>
        <xdr:cNvSpPr txBox="1"/>
      </xdr:nvSpPr>
      <xdr:spPr>
        <a:xfrm>
          <a:off x="6447581" y="4982576"/>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oneCellAnchor>
    <xdr:from>
      <xdr:col>4</xdr:col>
      <xdr:colOff>119814</xdr:colOff>
      <xdr:row>16</xdr:row>
      <xdr:rowOff>67677</xdr:rowOff>
    </xdr:from>
    <xdr:ext cx="220587" cy="210553"/>
    <xdr:sp macro="" textlink="" fLocksText="0">
      <xdr:nvSpPr>
        <xdr:cNvPr id="3" name="Textfeld 56">
          <a:extLst>
            <a:ext uri="{FF2B5EF4-FFF2-40B4-BE49-F238E27FC236}">
              <a16:creationId xmlns:a16="http://schemas.microsoft.com/office/drawing/2014/main" id="{00000000-0008-0000-0500-000003000000}"/>
            </a:ext>
          </a:extLst>
        </xdr:cNvPr>
        <xdr:cNvSpPr txBox="1"/>
      </xdr:nvSpPr>
      <xdr:spPr>
        <a:xfrm>
          <a:off x="3491664" y="4982577"/>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oneCellAnchor>
    <xdr:from>
      <xdr:col>3</xdr:col>
      <xdr:colOff>571500</xdr:colOff>
      <xdr:row>82</xdr:row>
      <xdr:rowOff>103961</xdr:rowOff>
    </xdr:from>
    <xdr:ext cx="220587" cy="210553"/>
    <xdr:sp macro="" textlink="">
      <xdr:nvSpPr>
        <xdr:cNvPr id="4" name="Textfeld 62">
          <a:extLst>
            <a:ext uri="{FF2B5EF4-FFF2-40B4-BE49-F238E27FC236}">
              <a16:creationId xmlns:a16="http://schemas.microsoft.com/office/drawing/2014/main" id="{00000000-0008-0000-0500-000004000000}"/>
            </a:ext>
          </a:extLst>
        </xdr:cNvPr>
        <xdr:cNvSpPr txBox="1"/>
      </xdr:nvSpPr>
      <xdr:spPr>
        <a:xfrm>
          <a:off x="2603500" y="26050061"/>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oneCellAnchor>
    <xdr:from>
      <xdr:col>3</xdr:col>
      <xdr:colOff>568244</xdr:colOff>
      <xdr:row>85</xdr:row>
      <xdr:rowOff>97692</xdr:rowOff>
    </xdr:from>
    <xdr:ext cx="220587" cy="210553"/>
    <xdr:sp macro="" textlink="">
      <xdr:nvSpPr>
        <xdr:cNvPr id="5" name="Textfeld 63">
          <a:extLst>
            <a:ext uri="{FF2B5EF4-FFF2-40B4-BE49-F238E27FC236}">
              <a16:creationId xmlns:a16="http://schemas.microsoft.com/office/drawing/2014/main" id="{00000000-0008-0000-0500-000005000000}"/>
            </a:ext>
          </a:extLst>
        </xdr:cNvPr>
        <xdr:cNvSpPr txBox="1"/>
      </xdr:nvSpPr>
      <xdr:spPr>
        <a:xfrm>
          <a:off x="2600244" y="26850242"/>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twoCellAnchor>
    <xdr:from>
      <xdr:col>2</xdr:col>
      <xdr:colOff>107356</xdr:colOff>
      <xdr:row>39</xdr:row>
      <xdr:rowOff>190500</xdr:rowOff>
    </xdr:from>
    <xdr:to>
      <xdr:col>2</xdr:col>
      <xdr:colOff>432290</xdr:colOff>
      <xdr:row>40</xdr:row>
      <xdr:rowOff>241788</xdr:rowOff>
    </xdr:to>
    <xdr:sp macro="" textlink="">
      <xdr:nvSpPr>
        <xdr:cNvPr id="6" name="Rechteck 1">
          <a:extLst>
            <a:ext uri="{FF2B5EF4-FFF2-40B4-BE49-F238E27FC236}">
              <a16:creationId xmlns:a16="http://schemas.microsoft.com/office/drawing/2014/main" id="{00000000-0008-0000-0500-000006000000}"/>
            </a:ext>
          </a:extLst>
        </xdr:cNvPr>
        <xdr:cNvSpPr/>
      </xdr:nvSpPr>
      <xdr:spPr bwMode="auto">
        <a:xfrm>
          <a:off x="501056" y="12922250"/>
          <a:ext cx="324934" cy="241788"/>
        </a:xfrm>
        <a:prstGeom prst="rect">
          <a:avLst/>
        </a:prstGeom>
        <a:solidFill>
          <a:srgbClr val="CDF2FF"/>
        </a:solidFill>
        <a:ln w="9525"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461596</xdr:colOff>
      <xdr:row>40</xdr:row>
      <xdr:rowOff>16566</xdr:rowOff>
    </xdr:from>
    <xdr:to>
      <xdr:col>4</xdr:col>
      <xdr:colOff>911086</xdr:colOff>
      <xdr:row>40</xdr:row>
      <xdr:rowOff>307732</xdr:rowOff>
    </xdr:to>
    <xdr:sp macro="" textlink="">
      <xdr:nvSpPr>
        <xdr:cNvPr id="7" name="Textfeld 2">
          <a:extLst>
            <a:ext uri="{FF2B5EF4-FFF2-40B4-BE49-F238E27FC236}">
              <a16:creationId xmlns:a16="http://schemas.microsoft.com/office/drawing/2014/main" id="{00000000-0008-0000-0500-000007000000}"/>
            </a:ext>
          </a:extLst>
        </xdr:cNvPr>
        <xdr:cNvSpPr txBox="1"/>
      </xdr:nvSpPr>
      <xdr:spPr>
        <a:xfrm>
          <a:off x="855296" y="12938816"/>
          <a:ext cx="3427640" cy="2403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900" baseline="30000">
              <a:solidFill>
                <a:schemeClr val="dk1"/>
              </a:solidFill>
              <a:effectLst/>
              <a:latin typeface="+mn-lt"/>
              <a:ea typeface="+mn-ea"/>
              <a:cs typeface="+mn-cs"/>
            </a:rPr>
            <a:t>*) </a:t>
          </a:r>
          <a:r>
            <a:rPr lang="de-DE" sz="900">
              <a:solidFill>
                <a:schemeClr val="dk1"/>
              </a:solidFill>
              <a:effectLst/>
              <a:latin typeface="+mn-lt"/>
              <a:ea typeface="+mn-ea"/>
              <a:cs typeface="+mn-cs"/>
            </a:rPr>
            <a:t> Campos a rellenar para el</a:t>
          </a:r>
          <a:r>
            <a:rPr lang="de-DE" sz="900" baseline="0">
              <a:solidFill>
                <a:schemeClr val="dk1"/>
              </a:solidFill>
              <a:effectLst/>
              <a:latin typeface="+mn-lt"/>
              <a:ea typeface="+mn-ea"/>
              <a:cs typeface="+mn-cs"/>
            </a:rPr>
            <a:t> cálculo</a:t>
          </a:r>
          <a:r>
            <a:rPr lang="de-DE" sz="900">
              <a:solidFill>
                <a:schemeClr val="dk1"/>
              </a:solidFill>
              <a:effectLst/>
              <a:latin typeface="+mn-lt"/>
              <a:ea typeface="+mn-ea"/>
              <a:cs typeface="+mn-cs"/>
            </a:rPr>
            <a:t> de la capacidad</a:t>
          </a:r>
          <a:endParaRPr lang="de-DE" sz="900">
            <a:effectLst/>
          </a:endParaRPr>
        </a:p>
      </xdr:txBody>
    </xdr:sp>
    <xdr:clientData/>
  </xdr:twoCellAnchor>
  <xdr:oneCellAnchor>
    <xdr:from>
      <xdr:col>5</xdr:col>
      <xdr:colOff>631328</xdr:colOff>
      <xdr:row>92</xdr:row>
      <xdr:rowOff>55681</xdr:rowOff>
    </xdr:from>
    <xdr:ext cx="220587" cy="210553"/>
    <xdr:sp macro="" textlink="">
      <xdr:nvSpPr>
        <xdr:cNvPr id="8" name="Textfeld 37">
          <a:extLst>
            <a:ext uri="{FF2B5EF4-FFF2-40B4-BE49-F238E27FC236}">
              <a16:creationId xmlns:a16="http://schemas.microsoft.com/office/drawing/2014/main" id="{00000000-0008-0000-0500-000008000000}"/>
            </a:ext>
          </a:extLst>
        </xdr:cNvPr>
        <xdr:cNvSpPr txBox="1"/>
      </xdr:nvSpPr>
      <xdr:spPr>
        <a:xfrm>
          <a:off x="5508128" y="27875031"/>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de-DE" sz="1100" b="0" i="0" u="none" strike="noStrike" kern="0" cap="none" spc="0" normalizeH="0" baseline="0" noProof="0">
              <a:ln>
                <a:noFill/>
              </a:ln>
              <a:solidFill>
                <a:srgbClr val="000000"/>
              </a:solidFill>
              <a:effectLst/>
              <a:uLnTx/>
              <a:uFillTx/>
              <a:latin typeface="Arial"/>
            </a:rPr>
            <a:t>X</a:t>
          </a:r>
        </a:p>
      </xdr:txBody>
    </xdr:sp>
    <xdr:clientData/>
  </xdr:oneCellAnchor>
  <xdr:twoCellAnchor>
    <xdr:from>
      <xdr:col>7</xdr:col>
      <xdr:colOff>479535</xdr:colOff>
      <xdr:row>72</xdr:row>
      <xdr:rowOff>281039</xdr:rowOff>
    </xdr:from>
    <xdr:to>
      <xdr:col>7</xdr:col>
      <xdr:colOff>845881</xdr:colOff>
      <xdr:row>72</xdr:row>
      <xdr:rowOff>625404</xdr:rowOff>
    </xdr:to>
    <xdr:sp macro="" textlink="">
      <xdr:nvSpPr>
        <xdr:cNvPr id="11" name="Rechteck 41">
          <a:extLst>
            <a:ext uri="{FF2B5EF4-FFF2-40B4-BE49-F238E27FC236}">
              <a16:creationId xmlns:a16="http://schemas.microsoft.com/office/drawing/2014/main" id="{00000000-0008-0000-0500-00000B000000}"/>
            </a:ext>
          </a:extLst>
        </xdr:cNvPr>
        <xdr:cNvSpPr/>
      </xdr:nvSpPr>
      <xdr:spPr bwMode="auto">
        <a:xfrm>
          <a:off x="8404335" y="23223589"/>
          <a:ext cx="366346" cy="344365"/>
        </a:xfrm>
        <a:prstGeom prst="rect">
          <a:avLst/>
        </a:prstGeom>
        <a:noFill/>
        <a:ln w="190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5</xdr:col>
      <xdr:colOff>558361</xdr:colOff>
      <xdr:row>72</xdr:row>
      <xdr:rowOff>271042</xdr:rowOff>
    </xdr:from>
    <xdr:to>
      <xdr:col>5</xdr:col>
      <xdr:colOff>924707</xdr:colOff>
      <xdr:row>72</xdr:row>
      <xdr:rowOff>615407</xdr:rowOff>
    </xdr:to>
    <xdr:sp macro="" textlink="">
      <xdr:nvSpPr>
        <xdr:cNvPr id="12" name="Rechteck 45">
          <a:extLst>
            <a:ext uri="{FF2B5EF4-FFF2-40B4-BE49-F238E27FC236}">
              <a16:creationId xmlns:a16="http://schemas.microsoft.com/office/drawing/2014/main" id="{00000000-0008-0000-0500-00000C000000}"/>
            </a:ext>
          </a:extLst>
        </xdr:cNvPr>
        <xdr:cNvSpPr/>
      </xdr:nvSpPr>
      <xdr:spPr bwMode="auto">
        <a:xfrm>
          <a:off x="5435161" y="23213592"/>
          <a:ext cx="366346" cy="344365"/>
        </a:xfrm>
        <a:prstGeom prst="rect">
          <a:avLst/>
        </a:prstGeom>
        <a:noFill/>
        <a:ln w="190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666750</xdr:colOff>
      <xdr:row>15</xdr:row>
      <xdr:rowOff>209550</xdr:rowOff>
    </xdr:from>
    <xdr:to>
      <xdr:col>2</xdr:col>
      <xdr:colOff>968417</xdr:colOff>
      <xdr:row>16</xdr:row>
      <xdr:rowOff>154598</xdr:rowOff>
    </xdr:to>
    <xdr:sp macro="" textlink="">
      <xdr:nvSpPr>
        <xdr:cNvPr id="13" name="Rechteck 40">
          <a:extLst>
            <a:ext uri="{FF2B5EF4-FFF2-40B4-BE49-F238E27FC236}">
              <a16:creationId xmlns:a16="http://schemas.microsoft.com/office/drawing/2014/main" id="{00000000-0008-0000-0500-00000D000000}"/>
            </a:ext>
          </a:extLst>
        </xdr:cNvPr>
        <xdr:cNvSpPr/>
      </xdr:nvSpPr>
      <xdr:spPr bwMode="auto">
        <a:xfrm>
          <a:off x="1060450" y="4832350"/>
          <a:ext cx="301667" cy="237148"/>
        </a:xfrm>
        <a:prstGeom prst="rect">
          <a:avLst/>
        </a:prstGeom>
        <a:noFill/>
        <a:ln w="190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ctr"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211197</xdr:colOff>
      <xdr:row>10</xdr:row>
      <xdr:rowOff>77390</xdr:rowOff>
    </xdr:from>
    <xdr:to>
      <xdr:col>2</xdr:col>
      <xdr:colOff>725365</xdr:colOff>
      <xdr:row>14</xdr:row>
      <xdr:rowOff>0</xdr:rowOff>
    </xdr:to>
    <xdr:sp macro="" textlink="">
      <xdr:nvSpPr>
        <xdr:cNvPr id="14" name="Rechteck 10">
          <a:extLst>
            <a:ext uri="{FF2B5EF4-FFF2-40B4-BE49-F238E27FC236}">
              <a16:creationId xmlns:a16="http://schemas.microsoft.com/office/drawing/2014/main" id="{00000000-0008-0000-0500-00000E000000}"/>
            </a:ext>
          </a:extLst>
        </xdr:cNvPr>
        <xdr:cNvSpPr/>
      </xdr:nvSpPr>
      <xdr:spPr bwMode="auto">
        <a:xfrm>
          <a:off x="604897" y="2763440"/>
          <a:ext cx="514168" cy="1668860"/>
        </a:xfrm>
        <a:prstGeom prst="rect">
          <a:avLst/>
        </a:prstGeom>
        <a:noFill/>
        <a:ln w="444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676275</xdr:colOff>
      <xdr:row>17</xdr:row>
      <xdr:rowOff>85725</xdr:rowOff>
    </xdr:from>
    <xdr:to>
      <xdr:col>2</xdr:col>
      <xdr:colOff>977942</xdr:colOff>
      <xdr:row>17</xdr:row>
      <xdr:rowOff>364148</xdr:rowOff>
    </xdr:to>
    <xdr:sp macro="" textlink="">
      <xdr:nvSpPr>
        <xdr:cNvPr id="15" name="Rechteck 46">
          <a:extLst>
            <a:ext uri="{FF2B5EF4-FFF2-40B4-BE49-F238E27FC236}">
              <a16:creationId xmlns:a16="http://schemas.microsoft.com/office/drawing/2014/main" id="{00000000-0008-0000-0500-00000F000000}"/>
            </a:ext>
          </a:extLst>
        </xdr:cNvPr>
        <xdr:cNvSpPr/>
      </xdr:nvSpPr>
      <xdr:spPr bwMode="auto">
        <a:xfrm>
          <a:off x="1069975" y="5330825"/>
          <a:ext cx="301667" cy="278423"/>
        </a:xfrm>
        <a:prstGeom prst="rect">
          <a:avLst/>
        </a:prstGeom>
        <a:noFill/>
        <a:ln w="190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ctr"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297656</xdr:colOff>
      <xdr:row>12</xdr:row>
      <xdr:rowOff>130968</xdr:rowOff>
    </xdr:from>
    <xdr:to>
      <xdr:col>2</xdr:col>
      <xdr:colOff>644990</xdr:colOff>
      <xdr:row>12</xdr:row>
      <xdr:rowOff>454283</xdr:rowOff>
    </xdr:to>
    <xdr:sp macro="" textlink="">
      <xdr:nvSpPr>
        <xdr:cNvPr id="16" name="Ellipse 54">
          <a:extLst>
            <a:ext uri="{FF2B5EF4-FFF2-40B4-BE49-F238E27FC236}">
              <a16:creationId xmlns:a16="http://schemas.microsoft.com/office/drawing/2014/main" id="{00000000-0008-0000-0500-000010000000}"/>
            </a:ext>
          </a:extLst>
        </xdr:cNvPr>
        <xdr:cNvSpPr/>
      </xdr:nvSpPr>
      <xdr:spPr bwMode="auto">
        <a:xfrm>
          <a:off x="691356" y="3540918"/>
          <a:ext cx="347334" cy="323315"/>
        </a:xfrm>
        <a:prstGeom prst="ellipse">
          <a:avLst/>
        </a:prstGeom>
        <a:noFill/>
        <a:ln w="9525" cap="flat" cmpd="sng" algn="ctr">
          <a:solidFill>
            <a:schemeClr val="tx1"/>
          </a:solidFill>
          <a:prstDash val="solid"/>
          <a:round/>
          <a:headEnd type="none" w="med" len="med"/>
          <a:tailEnd type="none" w="med" len="med"/>
        </a:ln>
        <a:effectLst/>
      </xdr:spPr>
      <xdr:txBody>
        <a:bodyPr vertOverflow="clip" vert="horz" wrap="none" lIns="0" tIns="0" rIns="0" bIns="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301228</xdr:colOff>
      <xdr:row>13</xdr:row>
      <xdr:rowOff>33337</xdr:rowOff>
    </xdr:from>
    <xdr:to>
      <xdr:col>2</xdr:col>
      <xdr:colOff>648562</xdr:colOff>
      <xdr:row>13</xdr:row>
      <xdr:rowOff>356652</xdr:rowOff>
    </xdr:to>
    <xdr:sp macro="" textlink="">
      <xdr:nvSpPr>
        <xdr:cNvPr id="17" name="Ellipse 55">
          <a:extLst>
            <a:ext uri="{FF2B5EF4-FFF2-40B4-BE49-F238E27FC236}">
              <a16:creationId xmlns:a16="http://schemas.microsoft.com/office/drawing/2014/main" id="{00000000-0008-0000-0500-000011000000}"/>
            </a:ext>
          </a:extLst>
        </xdr:cNvPr>
        <xdr:cNvSpPr/>
      </xdr:nvSpPr>
      <xdr:spPr bwMode="auto">
        <a:xfrm>
          <a:off x="694928" y="4040187"/>
          <a:ext cx="347334" cy="323315"/>
        </a:xfrm>
        <a:prstGeom prst="ellipse">
          <a:avLst/>
        </a:prstGeom>
        <a:noFill/>
        <a:ln w="9525" cap="flat" cmpd="sng" algn="ctr">
          <a:solidFill>
            <a:schemeClr val="tx1"/>
          </a:solidFill>
          <a:prstDash val="solid"/>
          <a:round/>
          <a:headEnd type="none" w="med" len="med"/>
          <a:tailEnd type="none" w="med" len="med"/>
        </a:ln>
        <a:effectLst/>
      </xdr:spPr>
      <xdr:txBody>
        <a:bodyPr vertOverflow="clip" vert="horz" wrap="none" lIns="0" tIns="0" rIns="0" bIns="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281240</xdr:colOff>
      <xdr:row>12</xdr:row>
      <xdr:rowOff>101203</xdr:rowOff>
    </xdr:from>
    <xdr:to>
      <xdr:col>2</xdr:col>
      <xdr:colOff>659079</xdr:colOff>
      <xdr:row>12</xdr:row>
      <xdr:rowOff>463826</xdr:rowOff>
    </xdr:to>
    <xdr:sp macro="" textlink="">
      <xdr:nvSpPr>
        <xdr:cNvPr id="18" name="Flussdiagramm: Zusammenführung 50">
          <a:extLst>
            <a:ext uri="{FF2B5EF4-FFF2-40B4-BE49-F238E27FC236}">
              <a16:creationId xmlns:a16="http://schemas.microsoft.com/office/drawing/2014/main" id="{00000000-0008-0000-0500-000012000000}"/>
            </a:ext>
          </a:extLst>
        </xdr:cNvPr>
        <xdr:cNvSpPr/>
      </xdr:nvSpPr>
      <xdr:spPr bwMode="auto">
        <a:xfrm>
          <a:off x="674940" y="3511153"/>
          <a:ext cx="377839" cy="362623"/>
        </a:xfrm>
        <a:prstGeom prst="flowChartSummingJunction">
          <a:avLst/>
        </a:prstGeom>
        <a:solidFill>
          <a:srgbClr val="FFFF00"/>
        </a:solidFill>
        <a:ln w="9525" cap="flat" cmpd="sng" algn="ctr">
          <a:solidFill>
            <a:srgbClr val="000000"/>
          </a:solidFill>
          <a:prstDash val="solid"/>
          <a:round/>
          <a:headEnd type="none" w="med" len="med"/>
          <a:tailEnd type="none" w="med" len="med"/>
        </a:ln>
        <a:effectLst/>
      </xdr:spPr>
      <xdr:txBody>
        <a:bodyPr vertOverflow="clip" vert="horz" wrap="none" lIns="0" tIns="0" rIns="0" bIns="0" numCol="1" rtlCol="0" anchor="ctr" anchorCtr="0" compatLnSpc="1">
          <a:prstTxWarp prst="textNoShape">
            <a:avLst/>
          </a:prstTxWarp>
        </a:bodyPr>
        <a:lstStyle/>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de-DE" sz="2400" b="0" i="0" u="none" strike="noStrike" kern="0" cap="none" spc="0" normalizeH="0" baseline="0" noProof="0">
            <a:ln>
              <a:noFill/>
            </a:ln>
            <a:solidFill>
              <a:srgbClr val="000000"/>
            </a:solidFill>
            <a:effectLst/>
            <a:uLnTx/>
            <a:uFillTx/>
            <a:latin typeface="Arial" charset="0"/>
          </a:endParaRPr>
        </a:p>
      </xdr:txBody>
    </xdr:sp>
    <xdr:clientData fLocksWithSheet="0"/>
  </xdr:twoCellAnchor>
  <xdr:oneCellAnchor>
    <xdr:from>
      <xdr:col>7</xdr:col>
      <xdr:colOff>540991</xdr:colOff>
      <xdr:row>48</xdr:row>
      <xdr:rowOff>162601</xdr:rowOff>
    </xdr:from>
    <xdr:ext cx="235618" cy="254557"/>
    <xdr:sp macro="" textlink="">
      <xdr:nvSpPr>
        <xdr:cNvPr id="19" name="Textfeld 57">
          <a:extLst>
            <a:ext uri="{FF2B5EF4-FFF2-40B4-BE49-F238E27FC236}">
              <a16:creationId xmlns:a16="http://schemas.microsoft.com/office/drawing/2014/main" id="{00000000-0008-0000-0500-000013000000}"/>
            </a:ext>
          </a:extLst>
        </xdr:cNvPr>
        <xdr:cNvSpPr txBox="1"/>
      </xdr:nvSpPr>
      <xdr:spPr>
        <a:xfrm>
          <a:off x="8465791" y="14615201"/>
          <a:ext cx="235618" cy="254557"/>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twoCellAnchor>
    <xdr:from>
      <xdr:col>7</xdr:col>
      <xdr:colOff>509900</xdr:colOff>
      <xdr:row>63</xdr:row>
      <xdr:rowOff>41672</xdr:rowOff>
    </xdr:from>
    <xdr:to>
      <xdr:col>7</xdr:col>
      <xdr:colOff>797720</xdr:colOff>
      <xdr:row>63</xdr:row>
      <xdr:rowOff>297318</xdr:rowOff>
    </xdr:to>
    <xdr:sp macro="" textlink="">
      <xdr:nvSpPr>
        <xdr:cNvPr id="20" name="Rechteck 64">
          <a:extLst>
            <a:ext uri="{FF2B5EF4-FFF2-40B4-BE49-F238E27FC236}">
              <a16:creationId xmlns:a16="http://schemas.microsoft.com/office/drawing/2014/main" id="{00000000-0008-0000-0500-000014000000}"/>
            </a:ext>
          </a:extLst>
        </xdr:cNvPr>
        <xdr:cNvSpPr/>
      </xdr:nvSpPr>
      <xdr:spPr bwMode="auto">
        <a:xfrm>
          <a:off x="8434700" y="20355322"/>
          <a:ext cx="287820" cy="255646"/>
        </a:xfrm>
        <a:prstGeom prst="rect">
          <a:avLst/>
        </a:prstGeom>
        <a:noFill/>
        <a:ln w="22225"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7</xdr:col>
      <xdr:colOff>523875</xdr:colOff>
      <xdr:row>67</xdr:row>
      <xdr:rowOff>41672</xdr:rowOff>
    </xdr:from>
    <xdr:to>
      <xdr:col>7</xdr:col>
      <xdr:colOff>811695</xdr:colOff>
      <xdr:row>67</xdr:row>
      <xdr:rowOff>297318</xdr:rowOff>
    </xdr:to>
    <xdr:sp macro="" textlink="">
      <xdr:nvSpPr>
        <xdr:cNvPr id="21" name="Rechteck 68">
          <a:extLst>
            <a:ext uri="{FF2B5EF4-FFF2-40B4-BE49-F238E27FC236}">
              <a16:creationId xmlns:a16="http://schemas.microsoft.com/office/drawing/2014/main" id="{00000000-0008-0000-0500-000015000000}"/>
            </a:ext>
          </a:extLst>
        </xdr:cNvPr>
        <xdr:cNvSpPr/>
      </xdr:nvSpPr>
      <xdr:spPr bwMode="auto">
        <a:xfrm>
          <a:off x="8448675" y="21333222"/>
          <a:ext cx="287820" cy="255646"/>
        </a:xfrm>
        <a:prstGeom prst="rect">
          <a:avLst/>
        </a:prstGeom>
        <a:noFill/>
        <a:ln w="22225"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3</xdr:col>
      <xdr:colOff>488675</xdr:colOff>
      <xdr:row>72</xdr:row>
      <xdr:rowOff>273327</xdr:rowOff>
    </xdr:from>
    <xdr:to>
      <xdr:col>3</xdr:col>
      <xdr:colOff>855021</xdr:colOff>
      <xdr:row>72</xdr:row>
      <xdr:rowOff>617692</xdr:rowOff>
    </xdr:to>
    <xdr:sp macro="" textlink="">
      <xdr:nvSpPr>
        <xdr:cNvPr id="22" name="Rechteck 72">
          <a:extLst>
            <a:ext uri="{FF2B5EF4-FFF2-40B4-BE49-F238E27FC236}">
              <a16:creationId xmlns:a16="http://schemas.microsoft.com/office/drawing/2014/main" id="{00000000-0008-0000-0500-000016000000}"/>
            </a:ext>
          </a:extLst>
        </xdr:cNvPr>
        <xdr:cNvSpPr/>
      </xdr:nvSpPr>
      <xdr:spPr bwMode="auto">
        <a:xfrm>
          <a:off x="2520675" y="23215877"/>
          <a:ext cx="366346" cy="344365"/>
        </a:xfrm>
        <a:prstGeom prst="rect">
          <a:avLst/>
        </a:prstGeom>
        <a:noFill/>
        <a:ln w="190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289523</xdr:colOff>
      <xdr:row>13</xdr:row>
      <xdr:rowOff>9266</xdr:rowOff>
    </xdr:from>
    <xdr:to>
      <xdr:col>2</xdr:col>
      <xdr:colOff>667362</xdr:colOff>
      <xdr:row>13</xdr:row>
      <xdr:rowOff>371889</xdr:rowOff>
    </xdr:to>
    <xdr:sp macro="" textlink="">
      <xdr:nvSpPr>
        <xdr:cNvPr id="23" name="Flussdiagramm: Zusammenführung 32">
          <a:extLst>
            <a:ext uri="{FF2B5EF4-FFF2-40B4-BE49-F238E27FC236}">
              <a16:creationId xmlns:a16="http://schemas.microsoft.com/office/drawing/2014/main" id="{00000000-0008-0000-0500-000017000000}"/>
            </a:ext>
          </a:extLst>
        </xdr:cNvPr>
        <xdr:cNvSpPr/>
      </xdr:nvSpPr>
      <xdr:spPr bwMode="auto">
        <a:xfrm>
          <a:off x="683223" y="4016116"/>
          <a:ext cx="377839" cy="362623"/>
        </a:xfrm>
        <a:prstGeom prst="flowChartSummingJunction">
          <a:avLst/>
        </a:prstGeom>
        <a:solidFill>
          <a:schemeClr val="bg1"/>
        </a:solidFill>
        <a:ln w="9525" cap="flat" cmpd="sng" algn="ctr">
          <a:solidFill>
            <a:srgbClr val="000000"/>
          </a:solidFill>
          <a:prstDash val="solid"/>
          <a:round/>
          <a:headEnd type="none" w="med" len="med"/>
          <a:tailEnd type="none" w="med" len="med"/>
        </a:ln>
        <a:effectLst/>
      </xdr:spPr>
      <xdr:txBody>
        <a:bodyPr vertOverflow="clip" vert="horz" wrap="none" lIns="0" tIns="0" rIns="0" bIns="0" numCol="1" rtlCol="0" anchor="ctr" anchorCtr="0" compatLnSpc="1">
          <a:prstTxWarp prst="textNoShape">
            <a:avLst/>
          </a:prstTxWarp>
        </a:bodyPr>
        <a:lstStyle/>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de-DE" sz="2400" b="0" i="0" u="none" strike="noStrike" kern="0" cap="none" spc="0" normalizeH="0" baseline="0" noProof="0">
            <a:ln>
              <a:noFill/>
            </a:ln>
            <a:solidFill>
              <a:srgbClr val="000000"/>
            </a:solidFill>
            <a:effectLst/>
            <a:uLnTx/>
            <a:uFillTx/>
            <a:latin typeface="Arial" charset="0"/>
          </a:endParaRPr>
        </a:p>
      </xdr:txBody>
    </xdr:sp>
    <xdr:clientData fLocksWithSheet="0"/>
  </xdr:twoCellAnchor>
  <xdr:oneCellAnchor>
    <xdr:from>
      <xdr:col>7</xdr:col>
      <xdr:colOff>540991</xdr:colOff>
      <xdr:row>50</xdr:row>
      <xdr:rowOff>215516</xdr:rowOff>
    </xdr:from>
    <xdr:ext cx="235618" cy="254557"/>
    <xdr:sp macro="" textlink="">
      <xdr:nvSpPr>
        <xdr:cNvPr id="24" name="Textfeld 34">
          <a:extLst>
            <a:ext uri="{FF2B5EF4-FFF2-40B4-BE49-F238E27FC236}">
              <a16:creationId xmlns:a16="http://schemas.microsoft.com/office/drawing/2014/main" id="{00000000-0008-0000-0500-000018000000}"/>
            </a:ext>
          </a:extLst>
        </xdr:cNvPr>
        <xdr:cNvSpPr txBox="1"/>
      </xdr:nvSpPr>
      <xdr:spPr>
        <a:xfrm>
          <a:off x="8465791" y="15868266"/>
          <a:ext cx="235618" cy="254557"/>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oneCellAnchor>
    <xdr:from>
      <xdr:col>2</xdr:col>
      <xdr:colOff>620885</xdr:colOff>
      <xdr:row>92</xdr:row>
      <xdr:rowOff>42336</xdr:rowOff>
    </xdr:from>
    <xdr:ext cx="220587" cy="210553"/>
    <xdr:sp macro="" textlink="">
      <xdr:nvSpPr>
        <xdr:cNvPr id="27" name="Textfeld 37">
          <a:extLst>
            <a:ext uri="{FF2B5EF4-FFF2-40B4-BE49-F238E27FC236}">
              <a16:creationId xmlns:a16="http://schemas.microsoft.com/office/drawing/2014/main" id="{00000000-0008-0000-0500-00001B000000}"/>
            </a:ext>
          </a:extLst>
        </xdr:cNvPr>
        <xdr:cNvSpPr txBox="1"/>
      </xdr:nvSpPr>
      <xdr:spPr>
        <a:xfrm>
          <a:off x="1014585" y="27861686"/>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twoCellAnchor>
    <xdr:from>
      <xdr:col>2</xdr:col>
      <xdr:colOff>282222</xdr:colOff>
      <xdr:row>11</xdr:row>
      <xdr:rowOff>112891</xdr:rowOff>
    </xdr:from>
    <xdr:to>
      <xdr:col>2</xdr:col>
      <xdr:colOff>660061</xdr:colOff>
      <xdr:row>11</xdr:row>
      <xdr:rowOff>475514</xdr:rowOff>
    </xdr:to>
    <xdr:sp macro="" textlink="">
      <xdr:nvSpPr>
        <xdr:cNvPr id="28" name="Flussdiagramm: Zusammenführung 50">
          <a:extLst>
            <a:ext uri="{FF2B5EF4-FFF2-40B4-BE49-F238E27FC236}">
              <a16:creationId xmlns:a16="http://schemas.microsoft.com/office/drawing/2014/main" id="{00000000-0008-0000-0500-00001C000000}"/>
            </a:ext>
          </a:extLst>
        </xdr:cNvPr>
        <xdr:cNvSpPr/>
      </xdr:nvSpPr>
      <xdr:spPr bwMode="auto">
        <a:xfrm>
          <a:off x="675922" y="2913241"/>
          <a:ext cx="377839" cy="362623"/>
        </a:xfrm>
        <a:prstGeom prst="flowChartSummingJunction">
          <a:avLst/>
        </a:prstGeom>
        <a:solidFill>
          <a:sysClr val="window" lastClr="FFFFFF"/>
        </a:solidFill>
        <a:ln w="9525" cap="flat" cmpd="sng" algn="ctr">
          <a:solidFill>
            <a:srgbClr val="000000"/>
          </a:solidFill>
          <a:prstDash val="solid"/>
          <a:round/>
          <a:headEnd type="none" w="med" len="med"/>
          <a:tailEnd type="none" w="med" len="med"/>
        </a:ln>
        <a:effectLst/>
      </xdr:spPr>
      <xdr:txBody>
        <a:bodyPr vertOverflow="clip" vert="horz" wrap="none" lIns="0" tIns="0" rIns="0" bIns="0" numCol="1" rtlCol="0" anchor="ctr" anchorCtr="0" compatLnSpc="1">
          <a:prstTxWarp prst="textNoShape">
            <a:avLst/>
          </a:prstTxWarp>
        </a:bodyPr>
        <a:lstStyle/>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de-DE" sz="2400" b="0" i="0" u="none" strike="noStrike" kern="0" cap="none" spc="0" normalizeH="0" baseline="0" noProof="0">
            <a:ln>
              <a:noFill/>
            </a:ln>
            <a:solidFill>
              <a:srgbClr val="000000"/>
            </a:solidFill>
            <a:effectLst/>
            <a:uLnTx/>
            <a:uFillTx/>
            <a:latin typeface="Arial" charset="0"/>
          </a:endParaRPr>
        </a:p>
      </xdr:txBody>
    </xdr:sp>
    <xdr:clientData fLocksWithSheet="0"/>
  </xdr:twoCellAnchor>
</xdr:wsDr>
</file>

<file path=xl/drawings/drawing5.xml><?xml version="1.0" encoding="utf-8"?>
<xdr:wsDr xmlns:xdr="http://schemas.openxmlformats.org/drawingml/2006/spreadsheetDrawing" xmlns:a="http://schemas.openxmlformats.org/drawingml/2006/main">
  <xdr:oneCellAnchor>
    <xdr:from>
      <xdr:col>2</xdr:col>
      <xdr:colOff>696893</xdr:colOff>
      <xdr:row>14</xdr:row>
      <xdr:rowOff>172616</xdr:rowOff>
    </xdr:from>
    <xdr:ext cx="235618" cy="254557"/>
    <xdr:sp macro="" textlink="">
      <xdr:nvSpPr>
        <xdr:cNvPr id="2" name="Textfeld 1">
          <a:extLst>
            <a:ext uri="{FF2B5EF4-FFF2-40B4-BE49-F238E27FC236}">
              <a16:creationId xmlns:a16="http://schemas.microsoft.com/office/drawing/2014/main" id="{00000000-0008-0000-0600-000002000000}"/>
            </a:ext>
          </a:extLst>
        </xdr:cNvPr>
        <xdr:cNvSpPr txBox="1"/>
      </xdr:nvSpPr>
      <xdr:spPr>
        <a:xfrm>
          <a:off x="1087418" y="4306466"/>
          <a:ext cx="235618" cy="254557"/>
        </a:xfrm>
        <a:prstGeom prst="rect">
          <a:avLst/>
        </a:prstGeom>
        <a:noFill/>
        <a:ln w="22225" cap="flat"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72000" rIns="72000" rtlCol="0" anchor="ctr" anchorCtr="0">
          <a:noAutofit/>
        </a:bodyPr>
        <a:lstStyle/>
        <a:p>
          <a:endParaRPr lang="de-DE" sz="1100"/>
        </a:p>
      </xdr:txBody>
    </xdr:sp>
    <xdr:clientData/>
  </xdr:oneCellAnchor>
  <xdr:oneCellAnchor>
    <xdr:from>
      <xdr:col>2</xdr:col>
      <xdr:colOff>706418</xdr:colOff>
      <xdr:row>16</xdr:row>
      <xdr:rowOff>99827</xdr:rowOff>
    </xdr:from>
    <xdr:ext cx="235618" cy="254557"/>
    <xdr:sp macro="" textlink="">
      <xdr:nvSpPr>
        <xdr:cNvPr id="3" name="Textfeld 2">
          <a:extLst>
            <a:ext uri="{FF2B5EF4-FFF2-40B4-BE49-F238E27FC236}">
              <a16:creationId xmlns:a16="http://schemas.microsoft.com/office/drawing/2014/main" id="{00000000-0008-0000-0600-000003000000}"/>
            </a:ext>
          </a:extLst>
        </xdr:cNvPr>
        <xdr:cNvSpPr txBox="1"/>
      </xdr:nvSpPr>
      <xdr:spPr>
        <a:xfrm>
          <a:off x="1096943" y="4852802"/>
          <a:ext cx="235618" cy="254557"/>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twoCellAnchor>
    <xdr:from>
      <xdr:col>2</xdr:col>
      <xdr:colOff>107356</xdr:colOff>
      <xdr:row>41</xdr:row>
      <xdr:rowOff>0</xdr:rowOff>
    </xdr:from>
    <xdr:to>
      <xdr:col>2</xdr:col>
      <xdr:colOff>432290</xdr:colOff>
      <xdr:row>41</xdr:row>
      <xdr:rowOff>0</xdr:rowOff>
    </xdr:to>
    <xdr:sp macro="" textlink="">
      <xdr:nvSpPr>
        <xdr:cNvPr id="4" name="Rechteck 3">
          <a:extLst>
            <a:ext uri="{FF2B5EF4-FFF2-40B4-BE49-F238E27FC236}">
              <a16:creationId xmlns:a16="http://schemas.microsoft.com/office/drawing/2014/main" id="{00000000-0008-0000-0600-000004000000}"/>
            </a:ext>
          </a:extLst>
        </xdr:cNvPr>
        <xdr:cNvSpPr/>
      </xdr:nvSpPr>
      <xdr:spPr bwMode="auto">
        <a:xfrm>
          <a:off x="497881" y="13782675"/>
          <a:ext cx="324934" cy="0"/>
        </a:xfrm>
        <a:prstGeom prst="rect">
          <a:avLst/>
        </a:prstGeom>
        <a:solidFill>
          <a:srgbClr val="CDF2FF"/>
        </a:solidFill>
        <a:ln w="9525"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461596</xdr:colOff>
      <xdr:row>41</xdr:row>
      <xdr:rowOff>0</xdr:rowOff>
    </xdr:from>
    <xdr:to>
      <xdr:col>4</xdr:col>
      <xdr:colOff>911086</xdr:colOff>
      <xdr:row>41</xdr:row>
      <xdr:rowOff>0</xdr:rowOff>
    </xdr:to>
    <xdr:sp macro="" textlink="">
      <xdr:nvSpPr>
        <xdr:cNvPr id="5" name="Textfeld 4">
          <a:extLst>
            <a:ext uri="{FF2B5EF4-FFF2-40B4-BE49-F238E27FC236}">
              <a16:creationId xmlns:a16="http://schemas.microsoft.com/office/drawing/2014/main" id="{00000000-0008-0000-0600-000005000000}"/>
            </a:ext>
          </a:extLst>
        </xdr:cNvPr>
        <xdr:cNvSpPr txBox="1"/>
      </xdr:nvSpPr>
      <xdr:spPr>
        <a:xfrm>
          <a:off x="852121" y="13782675"/>
          <a:ext cx="3430815"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aseline="30000"/>
            <a:t>*) </a:t>
          </a:r>
          <a:r>
            <a:rPr lang="en-GB" sz="900"/>
            <a:t> Input fields for capacity calculation</a:t>
          </a:r>
        </a:p>
      </xdr:txBody>
    </xdr:sp>
    <xdr:clientData/>
  </xdr:twoCellAnchor>
  <xdr:twoCellAnchor>
    <xdr:from>
      <xdr:col>2</xdr:col>
      <xdr:colOff>303610</xdr:colOff>
      <xdr:row>11</xdr:row>
      <xdr:rowOff>53578</xdr:rowOff>
    </xdr:from>
    <xdr:to>
      <xdr:col>2</xdr:col>
      <xdr:colOff>650944</xdr:colOff>
      <xdr:row>11</xdr:row>
      <xdr:rowOff>402778</xdr:rowOff>
    </xdr:to>
    <xdr:sp macro="" textlink="">
      <xdr:nvSpPr>
        <xdr:cNvPr id="6" name="Ellipse 5">
          <a:extLst>
            <a:ext uri="{FF2B5EF4-FFF2-40B4-BE49-F238E27FC236}">
              <a16:creationId xmlns:a16="http://schemas.microsoft.com/office/drawing/2014/main" id="{00000000-0008-0000-0600-000006000000}"/>
            </a:ext>
          </a:extLst>
        </xdr:cNvPr>
        <xdr:cNvSpPr/>
      </xdr:nvSpPr>
      <xdr:spPr bwMode="auto">
        <a:xfrm>
          <a:off x="694135" y="2901553"/>
          <a:ext cx="347334" cy="349200"/>
        </a:xfrm>
        <a:prstGeom prst="ellipse">
          <a:avLst/>
        </a:prstGeom>
        <a:noFill/>
        <a:ln w="9525" cap="flat" cmpd="sng" algn="ctr">
          <a:solidFill>
            <a:schemeClr val="tx1"/>
          </a:solidFill>
          <a:prstDash val="solid"/>
          <a:round/>
          <a:headEnd type="none" w="med" len="med"/>
          <a:tailEnd type="none" w="med" len="med"/>
        </a:ln>
        <a:effectLst/>
      </xdr:spPr>
      <xdr:txBody>
        <a:bodyPr vertOverflow="clip" vert="horz" wrap="none" lIns="0" tIns="0" rIns="0" bIns="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oneCellAnchor>
    <xdr:from>
      <xdr:col>6</xdr:col>
      <xdr:colOff>91231</xdr:colOff>
      <xdr:row>15</xdr:row>
      <xdr:rowOff>39101</xdr:rowOff>
    </xdr:from>
    <xdr:ext cx="220587" cy="210553"/>
    <xdr:sp macro="" textlink="" fLocksText="0">
      <xdr:nvSpPr>
        <xdr:cNvPr id="7" name="Textfeld 6">
          <a:extLst>
            <a:ext uri="{FF2B5EF4-FFF2-40B4-BE49-F238E27FC236}">
              <a16:creationId xmlns:a16="http://schemas.microsoft.com/office/drawing/2014/main" id="{00000000-0008-0000-0600-000007000000}"/>
            </a:ext>
          </a:extLst>
        </xdr:cNvPr>
        <xdr:cNvSpPr txBox="1"/>
      </xdr:nvSpPr>
      <xdr:spPr>
        <a:xfrm>
          <a:off x="6358681" y="4506326"/>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cap="none" normalizeH="0" baseline="0" noProof="0">
              <a:ln>
                <a:noFill/>
              </a:ln>
              <a:solidFill>
                <a:srgbClr val="000000"/>
              </a:solidFill>
              <a:uLnTx/>
              <a:uFillTx/>
              <a:latin typeface="Arial"/>
            </a:rPr>
            <a:t>X</a:t>
          </a:r>
        </a:p>
      </xdr:txBody>
    </xdr:sp>
    <xdr:clientData/>
  </xdr:oneCellAnchor>
  <xdr:twoCellAnchor>
    <xdr:from>
      <xdr:col>4</xdr:col>
      <xdr:colOff>119814</xdr:colOff>
      <xdr:row>15</xdr:row>
      <xdr:rowOff>39102</xdr:rowOff>
    </xdr:from>
    <xdr:to>
      <xdr:col>4</xdr:col>
      <xdr:colOff>340401</xdr:colOff>
      <xdr:row>15</xdr:row>
      <xdr:rowOff>249655</xdr:rowOff>
    </xdr:to>
    <xdr:sp macro="" textlink="" fLocksText="0">
      <xdr:nvSpPr>
        <xdr:cNvPr id="8" name="Textfeld 7">
          <a:extLst>
            <a:ext uri="{FF2B5EF4-FFF2-40B4-BE49-F238E27FC236}">
              <a16:creationId xmlns:a16="http://schemas.microsoft.com/office/drawing/2014/main" id="{00000000-0008-0000-0600-000008000000}"/>
            </a:ext>
          </a:extLst>
        </xdr:cNvPr>
        <xdr:cNvSpPr txBox="1"/>
      </xdr:nvSpPr>
      <xdr:spPr>
        <a:xfrm>
          <a:off x="3491664" y="4506327"/>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twoCellAnchor>
  <xdr:twoCellAnchor>
    <xdr:from>
      <xdr:col>2</xdr:col>
      <xdr:colOff>107356</xdr:colOff>
      <xdr:row>38</xdr:row>
      <xdr:rowOff>190500</xdr:rowOff>
    </xdr:from>
    <xdr:to>
      <xdr:col>2</xdr:col>
      <xdr:colOff>432290</xdr:colOff>
      <xdr:row>39</xdr:row>
      <xdr:rowOff>241788</xdr:rowOff>
    </xdr:to>
    <xdr:sp macro="" textlink="">
      <xdr:nvSpPr>
        <xdr:cNvPr id="9" name="Rechteck 8">
          <a:extLst>
            <a:ext uri="{FF2B5EF4-FFF2-40B4-BE49-F238E27FC236}">
              <a16:creationId xmlns:a16="http://schemas.microsoft.com/office/drawing/2014/main" id="{00000000-0008-0000-0600-000009000000}"/>
            </a:ext>
          </a:extLst>
        </xdr:cNvPr>
        <xdr:cNvSpPr/>
      </xdr:nvSpPr>
      <xdr:spPr bwMode="auto">
        <a:xfrm>
          <a:off x="497881" y="13458825"/>
          <a:ext cx="324934" cy="241788"/>
        </a:xfrm>
        <a:prstGeom prst="rect">
          <a:avLst/>
        </a:prstGeom>
        <a:solidFill>
          <a:srgbClr val="CDF2FF"/>
        </a:solidFill>
        <a:ln w="9525"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461596</xdr:colOff>
      <xdr:row>39</xdr:row>
      <xdr:rowOff>16566</xdr:rowOff>
    </xdr:from>
    <xdr:to>
      <xdr:col>4</xdr:col>
      <xdr:colOff>911086</xdr:colOff>
      <xdr:row>39</xdr:row>
      <xdr:rowOff>307732</xdr:rowOff>
    </xdr:to>
    <xdr:sp macro="" textlink="">
      <xdr:nvSpPr>
        <xdr:cNvPr id="10" name="Textfeld 9">
          <a:extLst>
            <a:ext uri="{FF2B5EF4-FFF2-40B4-BE49-F238E27FC236}">
              <a16:creationId xmlns:a16="http://schemas.microsoft.com/office/drawing/2014/main" id="{00000000-0008-0000-0600-00000A000000}"/>
            </a:ext>
          </a:extLst>
        </xdr:cNvPr>
        <xdr:cNvSpPr txBox="1"/>
      </xdr:nvSpPr>
      <xdr:spPr>
        <a:xfrm>
          <a:off x="852121" y="13475391"/>
          <a:ext cx="3430815" cy="2911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aseline="30000"/>
            <a:t>*) </a:t>
          </a:r>
          <a:r>
            <a:rPr lang="en-GB" sz="900"/>
            <a:t> Input fields for capacity calculation</a:t>
          </a:r>
        </a:p>
      </xdr:txBody>
    </xdr:sp>
    <xdr:clientData/>
  </xdr:twoCellAnchor>
  <xdr:twoCellAnchor>
    <xdr:from>
      <xdr:col>2</xdr:col>
      <xdr:colOff>211197</xdr:colOff>
      <xdr:row>10</xdr:row>
      <xdr:rowOff>77390</xdr:rowOff>
    </xdr:from>
    <xdr:to>
      <xdr:col>2</xdr:col>
      <xdr:colOff>725365</xdr:colOff>
      <xdr:row>12</xdr:row>
      <xdr:rowOff>571500</xdr:rowOff>
    </xdr:to>
    <xdr:sp macro="" textlink="">
      <xdr:nvSpPr>
        <xdr:cNvPr id="11" name="Rechteck 10">
          <a:extLst>
            <a:ext uri="{FF2B5EF4-FFF2-40B4-BE49-F238E27FC236}">
              <a16:creationId xmlns:a16="http://schemas.microsoft.com/office/drawing/2014/main" id="{00000000-0008-0000-0600-00000B000000}"/>
            </a:ext>
          </a:extLst>
        </xdr:cNvPr>
        <xdr:cNvSpPr/>
      </xdr:nvSpPr>
      <xdr:spPr bwMode="auto">
        <a:xfrm>
          <a:off x="601722" y="2811065"/>
          <a:ext cx="514168" cy="1103710"/>
        </a:xfrm>
        <a:prstGeom prst="rect">
          <a:avLst/>
        </a:prstGeom>
        <a:noFill/>
        <a:ln w="444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oneCellAnchor>
    <xdr:from>
      <xdr:col>7</xdr:col>
      <xdr:colOff>554649</xdr:colOff>
      <xdr:row>47</xdr:row>
      <xdr:rowOff>180593</xdr:rowOff>
    </xdr:from>
    <xdr:ext cx="235618" cy="254557"/>
    <xdr:sp macro="" textlink="">
      <xdr:nvSpPr>
        <xdr:cNvPr id="12" name="Textfeld 11">
          <a:extLst>
            <a:ext uri="{FF2B5EF4-FFF2-40B4-BE49-F238E27FC236}">
              <a16:creationId xmlns:a16="http://schemas.microsoft.com/office/drawing/2014/main" id="{00000000-0008-0000-0600-00000C000000}"/>
            </a:ext>
          </a:extLst>
        </xdr:cNvPr>
        <xdr:cNvSpPr txBox="1"/>
      </xdr:nvSpPr>
      <xdr:spPr>
        <a:xfrm>
          <a:off x="8384199" y="15296768"/>
          <a:ext cx="235618" cy="254557"/>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oneCellAnchor>
    <xdr:from>
      <xdr:col>7</xdr:col>
      <xdr:colOff>554649</xdr:colOff>
      <xdr:row>49</xdr:row>
      <xdr:rowOff>220317</xdr:rowOff>
    </xdr:from>
    <xdr:ext cx="235618" cy="254557"/>
    <xdr:sp macro="" textlink="">
      <xdr:nvSpPr>
        <xdr:cNvPr id="13" name="Textfeld 12">
          <a:extLst>
            <a:ext uri="{FF2B5EF4-FFF2-40B4-BE49-F238E27FC236}">
              <a16:creationId xmlns:a16="http://schemas.microsoft.com/office/drawing/2014/main" id="{00000000-0008-0000-0600-00000D000000}"/>
            </a:ext>
          </a:extLst>
        </xdr:cNvPr>
        <xdr:cNvSpPr txBox="1"/>
      </xdr:nvSpPr>
      <xdr:spPr>
        <a:xfrm>
          <a:off x="8384199" y="16565217"/>
          <a:ext cx="235618" cy="254557"/>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a typeface="+mn-ea"/>
            <a:cs typeface="+mn-cs"/>
          </a:endParaRPr>
        </a:p>
      </xdr:txBody>
    </xdr:sp>
    <xdr:clientData/>
  </xdr:oneCellAnchor>
  <xdr:twoCellAnchor>
    <xdr:from>
      <xdr:col>7</xdr:col>
      <xdr:colOff>533453</xdr:colOff>
      <xdr:row>62</xdr:row>
      <xdr:rowOff>49955</xdr:rowOff>
    </xdr:from>
    <xdr:to>
      <xdr:col>7</xdr:col>
      <xdr:colOff>821273</xdr:colOff>
      <xdr:row>62</xdr:row>
      <xdr:rowOff>305601</xdr:rowOff>
    </xdr:to>
    <xdr:sp macro="" textlink="">
      <xdr:nvSpPr>
        <xdr:cNvPr id="14" name="Rechteck 13">
          <a:extLst>
            <a:ext uri="{FF2B5EF4-FFF2-40B4-BE49-F238E27FC236}">
              <a16:creationId xmlns:a16="http://schemas.microsoft.com/office/drawing/2014/main" id="{00000000-0008-0000-0600-00000E000000}"/>
            </a:ext>
          </a:extLst>
        </xdr:cNvPr>
        <xdr:cNvSpPr/>
      </xdr:nvSpPr>
      <xdr:spPr bwMode="auto">
        <a:xfrm>
          <a:off x="8363003" y="21926550"/>
          <a:ext cx="287820" cy="0"/>
        </a:xfrm>
        <a:prstGeom prst="rect">
          <a:avLst/>
        </a:prstGeom>
        <a:noFill/>
        <a:ln w="22225"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7</xdr:col>
      <xdr:colOff>479535</xdr:colOff>
      <xdr:row>66</xdr:row>
      <xdr:rowOff>356767</xdr:rowOff>
    </xdr:from>
    <xdr:to>
      <xdr:col>7</xdr:col>
      <xdr:colOff>845881</xdr:colOff>
      <xdr:row>66</xdr:row>
      <xdr:rowOff>701132</xdr:rowOff>
    </xdr:to>
    <xdr:sp macro="" textlink="">
      <xdr:nvSpPr>
        <xdr:cNvPr id="15" name="Rechteck 14">
          <a:extLst>
            <a:ext uri="{FF2B5EF4-FFF2-40B4-BE49-F238E27FC236}">
              <a16:creationId xmlns:a16="http://schemas.microsoft.com/office/drawing/2014/main" id="{00000000-0008-0000-0600-00000F000000}"/>
            </a:ext>
          </a:extLst>
        </xdr:cNvPr>
        <xdr:cNvSpPr/>
      </xdr:nvSpPr>
      <xdr:spPr bwMode="auto">
        <a:xfrm>
          <a:off x="8309085" y="23111992"/>
          <a:ext cx="366346" cy="344365"/>
        </a:xfrm>
        <a:prstGeom prst="rect">
          <a:avLst/>
        </a:prstGeom>
        <a:noFill/>
        <a:ln w="190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5</xdr:col>
      <xdr:colOff>558361</xdr:colOff>
      <xdr:row>66</xdr:row>
      <xdr:rowOff>356767</xdr:rowOff>
    </xdr:from>
    <xdr:to>
      <xdr:col>5</xdr:col>
      <xdr:colOff>924707</xdr:colOff>
      <xdr:row>66</xdr:row>
      <xdr:rowOff>701132</xdr:rowOff>
    </xdr:to>
    <xdr:sp macro="" textlink="">
      <xdr:nvSpPr>
        <xdr:cNvPr id="16" name="Rechteck 15">
          <a:extLst>
            <a:ext uri="{FF2B5EF4-FFF2-40B4-BE49-F238E27FC236}">
              <a16:creationId xmlns:a16="http://schemas.microsoft.com/office/drawing/2014/main" id="{00000000-0008-0000-0600-000010000000}"/>
            </a:ext>
          </a:extLst>
        </xdr:cNvPr>
        <xdr:cNvSpPr/>
      </xdr:nvSpPr>
      <xdr:spPr bwMode="auto">
        <a:xfrm>
          <a:off x="5339911" y="23111992"/>
          <a:ext cx="366346" cy="344365"/>
        </a:xfrm>
        <a:prstGeom prst="rect">
          <a:avLst/>
        </a:prstGeom>
        <a:noFill/>
        <a:ln w="190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3</xdr:col>
      <xdr:colOff>488675</xdr:colOff>
      <xdr:row>66</xdr:row>
      <xdr:rowOff>356767</xdr:rowOff>
    </xdr:from>
    <xdr:to>
      <xdr:col>3</xdr:col>
      <xdr:colOff>855021</xdr:colOff>
      <xdr:row>66</xdr:row>
      <xdr:rowOff>701132</xdr:rowOff>
    </xdr:to>
    <xdr:sp macro="" textlink="">
      <xdr:nvSpPr>
        <xdr:cNvPr id="17" name="Rechteck 16">
          <a:extLst>
            <a:ext uri="{FF2B5EF4-FFF2-40B4-BE49-F238E27FC236}">
              <a16:creationId xmlns:a16="http://schemas.microsoft.com/office/drawing/2014/main" id="{00000000-0008-0000-0600-000011000000}"/>
            </a:ext>
          </a:extLst>
        </xdr:cNvPr>
        <xdr:cNvSpPr/>
      </xdr:nvSpPr>
      <xdr:spPr bwMode="auto">
        <a:xfrm>
          <a:off x="2517500" y="23111992"/>
          <a:ext cx="366346" cy="344365"/>
        </a:xfrm>
        <a:prstGeom prst="rect">
          <a:avLst/>
        </a:prstGeom>
        <a:noFill/>
        <a:ln w="190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oneCellAnchor>
    <xdr:from>
      <xdr:col>2</xdr:col>
      <xdr:colOff>99395</xdr:colOff>
      <xdr:row>86</xdr:row>
      <xdr:rowOff>57978</xdr:rowOff>
    </xdr:from>
    <xdr:ext cx="220587" cy="210553"/>
    <xdr:sp macro="" textlink="" fLocksText="0">
      <xdr:nvSpPr>
        <xdr:cNvPr id="18" name="Textfeld 17">
          <a:extLst>
            <a:ext uri="{FF2B5EF4-FFF2-40B4-BE49-F238E27FC236}">
              <a16:creationId xmlns:a16="http://schemas.microsoft.com/office/drawing/2014/main" id="{00000000-0008-0000-0600-000012000000}"/>
            </a:ext>
          </a:extLst>
        </xdr:cNvPr>
        <xdr:cNvSpPr txBox="1"/>
      </xdr:nvSpPr>
      <xdr:spPr>
        <a:xfrm>
          <a:off x="489920" y="28366278"/>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cap="none" normalizeH="0" baseline="0" noProof="0">
              <a:ln>
                <a:noFill/>
              </a:ln>
              <a:solidFill>
                <a:srgbClr val="000000"/>
              </a:solidFill>
              <a:uLnTx/>
              <a:uFillTx/>
              <a:latin typeface="Arial"/>
            </a:rPr>
            <a:t>X</a:t>
          </a:r>
        </a:p>
      </xdr:txBody>
    </xdr:sp>
    <xdr:clientData/>
  </xdr:oneCellAnchor>
  <xdr:oneCellAnchor>
    <xdr:from>
      <xdr:col>3</xdr:col>
      <xdr:colOff>558666</xdr:colOff>
      <xdr:row>77</xdr:row>
      <xdr:rowOff>105604</xdr:rowOff>
    </xdr:from>
    <xdr:ext cx="220587" cy="210553"/>
    <xdr:sp macro="" textlink="">
      <xdr:nvSpPr>
        <xdr:cNvPr id="19" name="Textfeld 18">
          <a:extLst>
            <a:ext uri="{FF2B5EF4-FFF2-40B4-BE49-F238E27FC236}">
              <a16:creationId xmlns:a16="http://schemas.microsoft.com/office/drawing/2014/main" id="{00000000-0008-0000-0600-000013000000}"/>
            </a:ext>
          </a:extLst>
        </xdr:cNvPr>
        <xdr:cNvSpPr txBox="1"/>
      </xdr:nvSpPr>
      <xdr:spPr>
        <a:xfrm>
          <a:off x="2587491" y="26404129"/>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oneCellAnchor>
    <xdr:from>
      <xdr:col>3</xdr:col>
      <xdr:colOff>558666</xdr:colOff>
      <xdr:row>80</xdr:row>
      <xdr:rowOff>86554</xdr:rowOff>
    </xdr:from>
    <xdr:ext cx="220587" cy="210553"/>
    <xdr:sp macro="" textlink="">
      <xdr:nvSpPr>
        <xdr:cNvPr id="20" name="Textfeld 19">
          <a:extLst>
            <a:ext uri="{FF2B5EF4-FFF2-40B4-BE49-F238E27FC236}">
              <a16:creationId xmlns:a16="http://schemas.microsoft.com/office/drawing/2014/main" id="{00000000-0008-0000-0600-000014000000}"/>
            </a:ext>
          </a:extLst>
        </xdr:cNvPr>
        <xdr:cNvSpPr txBox="1"/>
      </xdr:nvSpPr>
      <xdr:spPr>
        <a:xfrm>
          <a:off x="2587491" y="27204229"/>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twoCellAnchor>
    <xdr:from>
      <xdr:col>2</xdr:col>
      <xdr:colOff>279362</xdr:colOff>
      <xdr:row>11</xdr:row>
      <xdr:rowOff>38100</xdr:rowOff>
    </xdr:from>
    <xdr:to>
      <xdr:col>2</xdr:col>
      <xdr:colOff>657201</xdr:colOff>
      <xdr:row>11</xdr:row>
      <xdr:rowOff>400723</xdr:rowOff>
    </xdr:to>
    <xdr:sp macro="" textlink="" fLocksText="0">
      <xdr:nvSpPr>
        <xdr:cNvPr id="21" name="Flussdiagramm: Zusammenführung 20">
          <a:extLst>
            <a:ext uri="{FF2B5EF4-FFF2-40B4-BE49-F238E27FC236}">
              <a16:creationId xmlns:a16="http://schemas.microsoft.com/office/drawing/2014/main" id="{00000000-0008-0000-0600-000015000000}"/>
            </a:ext>
          </a:extLst>
        </xdr:cNvPr>
        <xdr:cNvSpPr/>
      </xdr:nvSpPr>
      <xdr:spPr bwMode="auto">
        <a:xfrm>
          <a:off x="669887" y="2886075"/>
          <a:ext cx="377839" cy="362623"/>
        </a:xfrm>
        <a:prstGeom prst="flowChartSummingJunction">
          <a:avLst/>
        </a:prstGeom>
        <a:solidFill>
          <a:srgbClr val="FF0000"/>
        </a:solidFill>
        <a:ln w="9525" cap="flat" cmpd="sng" algn="ctr">
          <a:solidFill>
            <a:srgbClr val="000000"/>
          </a:solidFill>
          <a:prstDash val="solid"/>
          <a:round/>
          <a:headEnd type="none" w="med" len="med"/>
          <a:tailEnd type="none" w="med" len="med"/>
        </a:ln>
        <a:effectLst/>
      </xdr:spPr>
      <xdr:txBody>
        <a:bodyPr vertOverflow="clip" vert="horz" wrap="none" lIns="0" tIns="0" rIns="0" bIns="0" numCol="1" rtlCol="0" anchor="ctr" anchorCtr="0" compatLnSpc="1">
          <a:prstTxWarp prst="textNoShape">
            <a:avLst/>
          </a:prstTxWarp>
        </a:bodyPr>
        <a:lstStyle/>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de-DE" sz="2400" b="0" i="0" u="none" strike="noStrike" kern="0" cap="none" spc="0" normalizeH="0" baseline="0" noProof="0">
            <a:ln>
              <a:noFill/>
            </a:ln>
            <a:solidFill>
              <a:srgbClr val="000000"/>
            </a:solidFill>
            <a:effectLst/>
            <a:uLnTx/>
            <a:uFillTx/>
            <a:latin typeface="Arial" charset="0"/>
          </a:endParaRPr>
        </a:p>
      </xdr:txBody>
    </xdr:sp>
    <xdr:clientData fLocksWithSheet="0"/>
  </xdr:twoCellAnchor>
  <xdr:twoCellAnchor>
    <xdr:from>
      <xdr:col>2</xdr:col>
      <xdr:colOff>303610</xdr:colOff>
      <xdr:row>12</xdr:row>
      <xdr:rowOff>110728</xdr:rowOff>
    </xdr:from>
    <xdr:to>
      <xdr:col>2</xdr:col>
      <xdr:colOff>650944</xdr:colOff>
      <xdr:row>12</xdr:row>
      <xdr:rowOff>459928</xdr:rowOff>
    </xdr:to>
    <xdr:sp macro="" textlink="">
      <xdr:nvSpPr>
        <xdr:cNvPr id="22" name="Ellipse 21">
          <a:extLst>
            <a:ext uri="{FF2B5EF4-FFF2-40B4-BE49-F238E27FC236}">
              <a16:creationId xmlns:a16="http://schemas.microsoft.com/office/drawing/2014/main" id="{00000000-0008-0000-0600-000016000000}"/>
            </a:ext>
          </a:extLst>
        </xdr:cNvPr>
        <xdr:cNvSpPr/>
      </xdr:nvSpPr>
      <xdr:spPr bwMode="auto">
        <a:xfrm>
          <a:off x="694135" y="3454003"/>
          <a:ext cx="347334" cy="349200"/>
        </a:xfrm>
        <a:prstGeom prst="ellipse">
          <a:avLst/>
        </a:prstGeom>
        <a:noFill/>
        <a:ln w="9525" cap="flat" cmpd="sng" algn="ctr">
          <a:solidFill>
            <a:schemeClr val="tx1"/>
          </a:solidFill>
          <a:prstDash val="solid"/>
          <a:round/>
          <a:headEnd type="none" w="med" len="med"/>
          <a:tailEnd type="none" w="med" len="med"/>
        </a:ln>
        <a:effectLst/>
      </xdr:spPr>
      <xdr:txBody>
        <a:bodyPr vertOverflow="clip" vert="horz" wrap="none" lIns="0" tIns="0" rIns="0" bIns="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279362</xdr:colOff>
      <xdr:row>12</xdr:row>
      <xdr:rowOff>106753</xdr:rowOff>
    </xdr:from>
    <xdr:to>
      <xdr:col>2</xdr:col>
      <xdr:colOff>657201</xdr:colOff>
      <xdr:row>12</xdr:row>
      <xdr:rowOff>469376</xdr:rowOff>
    </xdr:to>
    <xdr:sp macro="" textlink="">
      <xdr:nvSpPr>
        <xdr:cNvPr id="23" name="Flussdiagramm: Zusammenführung 22">
          <a:extLst>
            <a:ext uri="{FF2B5EF4-FFF2-40B4-BE49-F238E27FC236}">
              <a16:creationId xmlns:a16="http://schemas.microsoft.com/office/drawing/2014/main" id="{00000000-0008-0000-0600-000017000000}"/>
            </a:ext>
          </a:extLst>
        </xdr:cNvPr>
        <xdr:cNvSpPr/>
      </xdr:nvSpPr>
      <xdr:spPr bwMode="auto">
        <a:xfrm>
          <a:off x="669887" y="3450028"/>
          <a:ext cx="377839" cy="362623"/>
        </a:xfrm>
        <a:prstGeom prst="flowChartSummingJunction">
          <a:avLst/>
        </a:prstGeom>
        <a:solidFill>
          <a:srgbClr val="FFFF00"/>
        </a:solidFill>
        <a:ln w="9525" cap="flat" cmpd="sng" algn="ctr">
          <a:solidFill>
            <a:srgbClr val="000000"/>
          </a:solidFill>
          <a:prstDash val="solid"/>
          <a:round/>
          <a:headEnd type="none" w="med" len="med"/>
          <a:tailEnd type="none" w="med" len="med"/>
        </a:ln>
        <a:effectLst/>
      </xdr:spPr>
      <xdr:txBody>
        <a:bodyPr vertOverflow="clip" vert="horz" wrap="none" lIns="0" tIns="0" rIns="0" bIns="0" numCol="1" rtlCol="0" anchor="ctr" anchorCtr="0" compatLnSpc="1">
          <a:prstTxWarp prst="textNoShape">
            <a:avLst/>
          </a:prstTxWarp>
        </a:bodyPr>
        <a:lstStyle/>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de-DE" sz="2400" b="0" i="0" u="none" strike="noStrike" kern="0" cap="none" spc="0" normalizeH="0" baseline="0" noProof="0">
            <a:ln>
              <a:noFill/>
            </a:ln>
            <a:solidFill>
              <a:srgbClr val="000000"/>
            </a:solidFill>
            <a:effectLst/>
            <a:uLnTx/>
            <a:uFillTx/>
            <a:latin typeface="Arial" charset="0"/>
          </a:endParaRPr>
        </a:p>
      </xdr:txBody>
    </xdr:sp>
    <xdr:clientData fLocksWithSheet="0"/>
  </xdr:twoCellAnchor>
</xdr:wsDr>
</file>

<file path=xl/drawings/drawing6.xml><?xml version="1.0" encoding="utf-8"?>
<xdr:wsDr xmlns:xdr="http://schemas.openxmlformats.org/drawingml/2006/spreadsheetDrawing" xmlns:a="http://schemas.openxmlformats.org/drawingml/2006/main">
  <xdr:twoCellAnchor>
    <xdr:from>
      <xdr:col>2</xdr:col>
      <xdr:colOff>303610</xdr:colOff>
      <xdr:row>11</xdr:row>
      <xdr:rowOff>53579</xdr:rowOff>
    </xdr:from>
    <xdr:to>
      <xdr:col>2</xdr:col>
      <xdr:colOff>650944</xdr:colOff>
      <xdr:row>11</xdr:row>
      <xdr:rowOff>376894</xdr:rowOff>
    </xdr:to>
    <xdr:sp macro="" textlink="">
      <xdr:nvSpPr>
        <xdr:cNvPr id="2" name="Ellipse 1">
          <a:extLst>
            <a:ext uri="{FF2B5EF4-FFF2-40B4-BE49-F238E27FC236}">
              <a16:creationId xmlns:a16="http://schemas.microsoft.com/office/drawing/2014/main" id="{00000000-0008-0000-0700-000002000000}"/>
            </a:ext>
          </a:extLst>
        </xdr:cNvPr>
        <xdr:cNvSpPr/>
      </xdr:nvSpPr>
      <xdr:spPr bwMode="auto">
        <a:xfrm>
          <a:off x="694135" y="2901554"/>
          <a:ext cx="347334" cy="323315"/>
        </a:xfrm>
        <a:prstGeom prst="ellipse">
          <a:avLst/>
        </a:prstGeom>
        <a:noFill/>
        <a:ln w="9525" cap="flat" cmpd="sng" algn="ctr">
          <a:solidFill>
            <a:schemeClr val="tx1"/>
          </a:solidFill>
          <a:prstDash val="solid"/>
          <a:round/>
          <a:headEnd type="none" w="med" len="med"/>
          <a:tailEnd type="none" w="med" len="med"/>
        </a:ln>
        <a:effectLst/>
      </xdr:spPr>
      <xdr:txBody>
        <a:bodyPr vertOverflow="clip" vert="horz" wrap="none" lIns="0" tIns="0" rIns="0" bIns="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oneCellAnchor>
    <xdr:from>
      <xdr:col>6</xdr:col>
      <xdr:colOff>91231</xdr:colOff>
      <xdr:row>16</xdr:row>
      <xdr:rowOff>39101</xdr:rowOff>
    </xdr:from>
    <xdr:ext cx="220587" cy="210553"/>
    <xdr:sp macro="" textlink="" fLocksText="0">
      <xdr:nvSpPr>
        <xdr:cNvPr id="3" name="Textfeld 2">
          <a:extLst>
            <a:ext uri="{FF2B5EF4-FFF2-40B4-BE49-F238E27FC236}">
              <a16:creationId xmlns:a16="http://schemas.microsoft.com/office/drawing/2014/main" id="{00000000-0008-0000-0700-000003000000}"/>
            </a:ext>
          </a:extLst>
        </xdr:cNvPr>
        <xdr:cNvSpPr txBox="1"/>
      </xdr:nvSpPr>
      <xdr:spPr>
        <a:xfrm>
          <a:off x="6358681" y="4868276"/>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cap="none" normalizeH="0" baseline="0" noProof="0">
              <a:ln>
                <a:noFill/>
              </a:ln>
              <a:solidFill>
                <a:srgbClr val="000000"/>
              </a:solidFill>
              <a:uLnTx/>
              <a:uFillTx/>
              <a:latin typeface="Arial"/>
            </a:rPr>
            <a:t>x</a:t>
          </a:r>
        </a:p>
      </xdr:txBody>
    </xdr:sp>
    <xdr:clientData/>
  </xdr:oneCellAnchor>
  <xdr:oneCellAnchor>
    <xdr:from>
      <xdr:col>4</xdr:col>
      <xdr:colOff>119814</xdr:colOff>
      <xdr:row>16</xdr:row>
      <xdr:rowOff>39102</xdr:rowOff>
    </xdr:from>
    <xdr:ext cx="220587" cy="210553"/>
    <xdr:sp macro="" textlink="" fLocksText="0">
      <xdr:nvSpPr>
        <xdr:cNvPr id="4" name="Textfeld 3">
          <a:extLst>
            <a:ext uri="{FF2B5EF4-FFF2-40B4-BE49-F238E27FC236}">
              <a16:creationId xmlns:a16="http://schemas.microsoft.com/office/drawing/2014/main" id="{00000000-0008-0000-0700-000004000000}"/>
            </a:ext>
          </a:extLst>
        </xdr:cNvPr>
        <xdr:cNvSpPr txBox="1"/>
      </xdr:nvSpPr>
      <xdr:spPr>
        <a:xfrm>
          <a:off x="3491664" y="4868277"/>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oneCellAnchor>
    <xdr:from>
      <xdr:col>3</xdr:col>
      <xdr:colOff>571500</xdr:colOff>
      <xdr:row>82</xdr:row>
      <xdr:rowOff>103961</xdr:rowOff>
    </xdr:from>
    <xdr:ext cx="220587" cy="210553"/>
    <xdr:sp macro="" textlink="">
      <xdr:nvSpPr>
        <xdr:cNvPr id="5" name="Textfeld 4">
          <a:extLst>
            <a:ext uri="{FF2B5EF4-FFF2-40B4-BE49-F238E27FC236}">
              <a16:creationId xmlns:a16="http://schemas.microsoft.com/office/drawing/2014/main" id="{00000000-0008-0000-0700-000005000000}"/>
            </a:ext>
          </a:extLst>
        </xdr:cNvPr>
        <xdr:cNvSpPr txBox="1"/>
      </xdr:nvSpPr>
      <xdr:spPr>
        <a:xfrm>
          <a:off x="2600325" y="26183411"/>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oneCellAnchor>
    <xdr:from>
      <xdr:col>3</xdr:col>
      <xdr:colOff>568244</xdr:colOff>
      <xdr:row>85</xdr:row>
      <xdr:rowOff>97692</xdr:rowOff>
    </xdr:from>
    <xdr:ext cx="220587" cy="210553"/>
    <xdr:sp macro="" textlink="">
      <xdr:nvSpPr>
        <xdr:cNvPr id="6" name="Textfeld 5">
          <a:extLst>
            <a:ext uri="{FF2B5EF4-FFF2-40B4-BE49-F238E27FC236}">
              <a16:creationId xmlns:a16="http://schemas.microsoft.com/office/drawing/2014/main" id="{00000000-0008-0000-0700-000006000000}"/>
            </a:ext>
          </a:extLst>
        </xdr:cNvPr>
        <xdr:cNvSpPr txBox="1"/>
      </xdr:nvSpPr>
      <xdr:spPr>
        <a:xfrm>
          <a:off x="2597069" y="27053442"/>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twoCellAnchor>
    <xdr:from>
      <xdr:col>2</xdr:col>
      <xdr:colOff>107356</xdr:colOff>
      <xdr:row>39</xdr:row>
      <xdr:rowOff>190500</xdr:rowOff>
    </xdr:from>
    <xdr:to>
      <xdr:col>2</xdr:col>
      <xdr:colOff>432290</xdr:colOff>
      <xdr:row>40</xdr:row>
      <xdr:rowOff>241788</xdr:rowOff>
    </xdr:to>
    <xdr:sp macro="" textlink="">
      <xdr:nvSpPr>
        <xdr:cNvPr id="7" name="Rechteck 6">
          <a:extLst>
            <a:ext uri="{FF2B5EF4-FFF2-40B4-BE49-F238E27FC236}">
              <a16:creationId xmlns:a16="http://schemas.microsoft.com/office/drawing/2014/main" id="{00000000-0008-0000-0700-000007000000}"/>
            </a:ext>
          </a:extLst>
        </xdr:cNvPr>
        <xdr:cNvSpPr/>
      </xdr:nvSpPr>
      <xdr:spPr bwMode="auto">
        <a:xfrm>
          <a:off x="497881" y="13039725"/>
          <a:ext cx="324934" cy="241788"/>
        </a:xfrm>
        <a:prstGeom prst="rect">
          <a:avLst/>
        </a:prstGeom>
        <a:solidFill>
          <a:srgbClr val="CDF2FF"/>
        </a:solidFill>
        <a:ln w="9525"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461596</xdr:colOff>
      <xdr:row>40</xdr:row>
      <xdr:rowOff>16566</xdr:rowOff>
    </xdr:from>
    <xdr:to>
      <xdr:col>4</xdr:col>
      <xdr:colOff>911086</xdr:colOff>
      <xdr:row>40</xdr:row>
      <xdr:rowOff>307732</xdr:rowOff>
    </xdr:to>
    <xdr:sp macro="" textlink="">
      <xdr:nvSpPr>
        <xdr:cNvPr id="8" name="Textfeld 7">
          <a:extLst>
            <a:ext uri="{FF2B5EF4-FFF2-40B4-BE49-F238E27FC236}">
              <a16:creationId xmlns:a16="http://schemas.microsoft.com/office/drawing/2014/main" id="{00000000-0008-0000-0700-000008000000}"/>
            </a:ext>
          </a:extLst>
        </xdr:cNvPr>
        <xdr:cNvSpPr txBox="1"/>
      </xdr:nvSpPr>
      <xdr:spPr>
        <a:xfrm>
          <a:off x="852121" y="13056291"/>
          <a:ext cx="3430815" cy="2911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baseline="30000"/>
            <a:t>*) </a:t>
          </a:r>
          <a:r>
            <a:rPr lang="en-GB" sz="900"/>
            <a:t> Input fields for capacity calculation</a:t>
          </a:r>
        </a:p>
      </xdr:txBody>
    </xdr:sp>
    <xdr:clientData/>
  </xdr:twoCellAnchor>
  <xdr:oneCellAnchor>
    <xdr:from>
      <xdr:col>2</xdr:col>
      <xdr:colOff>710007</xdr:colOff>
      <xdr:row>92</xdr:row>
      <xdr:rowOff>57979</xdr:rowOff>
    </xdr:from>
    <xdr:ext cx="220587" cy="210553"/>
    <xdr:sp macro="" textlink="">
      <xdr:nvSpPr>
        <xdr:cNvPr id="9" name="Textfeld 8">
          <a:extLst>
            <a:ext uri="{FF2B5EF4-FFF2-40B4-BE49-F238E27FC236}">
              <a16:creationId xmlns:a16="http://schemas.microsoft.com/office/drawing/2014/main" id="{00000000-0008-0000-0700-000009000000}"/>
            </a:ext>
          </a:extLst>
        </xdr:cNvPr>
        <xdr:cNvSpPr txBox="1"/>
      </xdr:nvSpPr>
      <xdr:spPr>
        <a:xfrm>
          <a:off x="1100532" y="28099579"/>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oneCellAnchor>
    <xdr:from>
      <xdr:col>5</xdr:col>
      <xdr:colOff>631328</xdr:colOff>
      <xdr:row>92</xdr:row>
      <xdr:rowOff>55681</xdr:rowOff>
    </xdr:from>
    <xdr:ext cx="220587" cy="210553"/>
    <xdr:sp macro="" textlink="">
      <xdr:nvSpPr>
        <xdr:cNvPr id="10" name="Textfeld 9">
          <a:extLst>
            <a:ext uri="{FF2B5EF4-FFF2-40B4-BE49-F238E27FC236}">
              <a16:creationId xmlns:a16="http://schemas.microsoft.com/office/drawing/2014/main" id="{00000000-0008-0000-0700-00000A000000}"/>
            </a:ext>
          </a:extLst>
        </xdr:cNvPr>
        <xdr:cNvSpPr txBox="1"/>
      </xdr:nvSpPr>
      <xdr:spPr>
        <a:xfrm>
          <a:off x="5412878" y="28097281"/>
          <a:ext cx="220587" cy="210553"/>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twoCellAnchor>
    <xdr:from>
      <xdr:col>2</xdr:col>
      <xdr:colOff>660036</xdr:colOff>
      <xdr:row>3</xdr:row>
      <xdr:rowOff>98354</xdr:rowOff>
    </xdr:from>
    <xdr:to>
      <xdr:col>2</xdr:col>
      <xdr:colOff>961703</xdr:colOff>
      <xdr:row>3</xdr:row>
      <xdr:rowOff>376777</xdr:rowOff>
    </xdr:to>
    <xdr:sp macro="" textlink="">
      <xdr:nvSpPr>
        <xdr:cNvPr id="11" name="Rechteck 10">
          <a:extLst>
            <a:ext uri="{FF2B5EF4-FFF2-40B4-BE49-F238E27FC236}">
              <a16:creationId xmlns:a16="http://schemas.microsoft.com/office/drawing/2014/main" id="{00000000-0008-0000-0700-00000B000000}"/>
            </a:ext>
          </a:extLst>
        </xdr:cNvPr>
        <xdr:cNvSpPr/>
      </xdr:nvSpPr>
      <xdr:spPr bwMode="auto">
        <a:xfrm>
          <a:off x="1050561" y="946079"/>
          <a:ext cx="301667" cy="278423"/>
        </a:xfrm>
        <a:prstGeom prst="rect">
          <a:avLst/>
        </a:prstGeom>
        <a:noFill/>
        <a:ln w="190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5</xdr:col>
      <xdr:colOff>604344</xdr:colOff>
      <xdr:row>3</xdr:row>
      <xdr:rowOff>87115</xdr:rowOff>
    </xdr:from>
    <xdr:to>
      <xdr:col>5</xdr:col>
      <xdr:colOff>890347</xdr:colOff>
      <xdr:row>3</xdr:row>
      <xdr:rowOff>365538</xdr:rowOff>
    </xdr:to>
    <xdr:sp macro="" textlink="">
      <xdr:nvSpPr>
        <xdr:cNvPr id="12" name="Rechteck 11">
          <a:extLst>
            <a:ext uri="{FF2B5EF4-FFF2-40B4-BE49-F238E27FC236}">
              <a16:creationId xmlns:a16="http://schemas.microsoft.com/office/drawing/2014/main" id="{00000000-0008-0000-0700-00000C000000}"/>
            </a:ext>
          </a:extLst>
        </xdr:cNvPr>
        <xdr:cNvSpPr/>
      </xdr:nvSpPr>
      <xdr:spPr bwMode="auto">
        <a:xfrm>
          <a:off x="5385894" y="934840"/>
          <a:ext cx="286003" cy="278423"/>
        </a:xfrm>
        <a:prstGeom prst="rect">
          <a:avLst/>
        </a:prstGeom>
        <a:noFill/>
        <a:ln w="190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7</xdr:col>
      <xdr:colOff>479535</xdr:colOff>
      <xdr:row>72</xdr:row>
      <xdr:rowOff>281039</xdr:rowOff>
    </xdr:from>
    <xdr:to>
      <xdr:col>7</xdr:col>
      <xdr:colOff>845881</xdr:colOff>
      <xdr:row>72</xdr:row>
      <xdr:rowOff>625404</xdr:rowOff>
    </xdr:to>
    <xdr:sp macro="" textlink="">
      <xdr:nvSpPr>
        <xdr:cNvPr id="13" name="Rechteck 12">
          <a:extLst>
            <a:ext uri="{FF2B5EF4-FFF2-40B4-BE49-F238E27FC236}">
              <a16:creationId xmlns:a16="http://schemas.microsoft.com/office/drawing/2014/main" id="{00000000-0008-0000-0700-00000D000000}"/>
            </a:ext>
          </a:extLst>
        </xdr:cNvPr>
        <xdr:cNvSpPr/>
      </xdr:nvSpPr>
      <xdr:spPr bwMode="auto">
        <a:xfrm>
          <a:off x="8309085" y="23274389"/>
          <a:ext cx="366346" cy="344365"/>
        </a:xfrm>
        <a:prstGeom prst="rect">
          <a:avLst/>
        </a:prstGeom>
        <a:noFill/>
        <a:ln w="190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5</xdr:col>
      <xdr:colOff>558361</xdr:colOff>
      <xdr:row>72</xdr:row>
      <xdr:rowOff>271042</xdr:rowOff>
    </xdr:from>
    <xdr:to>
      <xdr:col>5</xdr:col>
      <xdr:colOff>924707</xdr:colOff>
      <xdr:row>72</xdr:row>
      <xdr:rowOff>615407</xdr:rowOff>
    </xdr:to>
    <xdr:sp macro="" textlink="">
      <xdr:nvSpPr>
        <xdr:cNvPr id="14" name="Rechteck 13">
          <a:extLst>
            <a:ext uri="{FF2B5EF4-FFF2-40B4-BE49-F238E27FC236}">
              <a16:creationId xmlns:a16="http://schemas.microsoft.com/office/drawing/2014/main" id="{00000000-0008-0000-0700-00000E000000}"/>
            </a:ext>
          </a:extLst>
        </xdr:cNvPr>
        <xdr:cNvSpPr/>
      </xdr:nvSpPr>
      <xdr:spPr bwMode="auto">
        <a:xfrm>
          <a:off x="5339911" y="23264392"/>
          <a:ext cx="366346" cy="344365"/>
        </a:xfrm>
        <a:prstGeom prst="rect">
          <a:avLst/>
        </a:prstGeom>
        <a:noFill/>
        <a:ln w="190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666750</xdr:colOff>
      <xdr:row>15</xdr:row>
      <xdr:rowOff>190500</xdr:rowOff>
    </xdr:from>
    <xdr:to>
      <xdr:col>2</xdr:col>
      <xdr:colOff>968417</xdr:colOff>
      <xdr:row>16</xdr:row>
      <xdr:rowOff>135548</xdr:rowOff>
    </xdr:to>
    <xdr:sp macro="" textlink="">
      <xdr:nvSpPr>
        <xdr:cNvPr id="15" name="Rechteck 14">
          <a:extLst>
            <a:ext uri="{FF2B5EF4-FFF2-40B4-BE49-F238E27FC236}">
              <a16:creationId xmlns:a16="http://schemas.microsoft.com/office/drawing/2014/main" id="{00000000-0008-0000-0700-00000F000000}"/>
            </a:ext>
          </a:extLst>
        </xdr:cNvPr>
        <xdr:cNvSpPr/>
      </xdr:nvSpPr>
      <xdr:spPr bwMode="auto">
        <a:xfrm>
          <a:off x="1057275" y="4686300"/>
          <a:ext cx="301667" cy="278423"/>
        </a:xfrm>
        <a:prstGeom prst="rect">
          <a:avLst/>
        </a:prstGeom>
        <a:noFill/>
        <a:ln w="190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ctr"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211197</xdr:colOff>
      <xdr:row>10</xdr:row>
      <xdr:rowOff>77390</xdr:rowOff>
    </xdr:from>
    <xdr:to>
      <xdr:col>2</xdr:col>
      <xdr:colOff>725365</xdr:colOff>
      <xdr:row>14</xdr:row>
      <xdr:rowOff>0</xdr:rowOff>
    </xdr:to>
    <xdr:sp macro="" textlink="">
      <xdr:nvSpPr>
        <xdr:cNvPr id="16" name="Rechteck 15">
          <a:extLst>
            <a:ext uri="{FF2B5EF4-FFF2-40B4-BE49-F238E27FC236}">
              <a16:creationId xmlns:a16="http://schemas.microsoft.com/office/drawing/2014/main" id="{00000000-0008-0000-0700-000010000000}"/>
            </a:ext>
          </a:extLst>
        </xdr:cNvPr>
        <xdr:cNvSpPr/>
      </xdr:nvSpPr>
      <xdr:spPr bwMode="auto">
        <a:xfrm>
          <a:off x="601722" y="2811065"/>
          <a:ext cx="514168" cy="1494235"/>
        </a:xfrm>
        <a:prstGeom prst="rect">
          <a:avLst/>
        </a:prstGeom>
        <a:noFill/>
        <a:ln w="444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676275</xdr:colOff>
      <xdr:row>17</xdr:row>
      <xdr:rowOff>85725</xdr:rowOff>
    </xdr:from>
    <xdr:to>
      <xdr:col>2</xdr:col>
      <xdr:colOff>977942</xdr:colOff>
      <xdr:row>17</xdr:row>
      <xdr:rowOff>364148</xdr:rowOff>
    </xdr:to>
    <xdr:sp macro="" textlink="">
      <xdr:nvSpPr>
        <xdr:cNvPr id="17" name="Rechteck 16">
          <a:extLst>
            <a:ext uri="{FF2B5EF4-FFF2-40B4-BE49-F238E27FC236}">
              <a16:creationId xmlns:a16="http://schemas.microsoft.com/office/drawing/2014/main" id="{00000000-0008-0000-0700-000011000000}"/>
            </a:ext>
          </a:extLst>
        </xdr:cNvPr>
        <xdr:cNvSpPr/>
      </xdr:nvSpPr>
      <xdr:spPr bwMode="auto">
        <a:xfrm>
          <a:off x="1066800" y="5200650"/>
          <a:ext cx="301667" cy="278423"/>
        </a:xfrm>
        <a:prstGeom prst="rect">
          <a:avLst/>
        </a:prstGeom>
        <a:noFill/>
        <a:ln w="190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ctr"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297656</xdr:colOff>
      <xdr:row>12</xdr:row>
      <xdr:rowOff>130968</xdr:rowOff>
    </xdr:from>
    <xdr:to>
      <xdr:col>2</xdr:col>
      <xdr:colOff>644990</xdr:colOff>
      <xdr:row>12</xdr:row>
      <xdr:rowOff>454283</xdr:rowOff>
    </xdr:to>
    <xdr:sp macro="" textlink="">
      <xdr:nvSpPr>
        <xdr:cNvPr id="18" name="Ellipse 17">
          <a:extLst>
            <a:ext uri="{FF2B5EF4-FFF2-40B4-BE49-F238E27FC236}">
              <a16:creationId xmlns:a16="http://schemas.microsoft.com/office/drawing/2014/main" id="{00000000-0008-0000-0700-000012000000}"/>
            </a:ext>
          </a:extLst>
        </xdr:cNvPr>
        <xdr:cNvSpPr/>
      </xdr:nvSpPr>
      <xdr:spPr bwMode="auto">
        <a:xfrm>
          <a:off x="688181" y="3407568"/>
          <a:ext cx="347334" cy="323315"/>
        </a:xfrm>
        <a:prstGeom prst="ellipse">
          <a:avLst/>
        </a:prstGeom>
        <a:noFill/>
        <a:ln w="9525" cap="flat" cmpd="sng" algn="ctr">
          <a:solidFill>
            <a:schemeClr val="tx1"/>
          </a:solidFill>
          <a:prstDash val="solid"/>
          <a:round/>
          <a:headEnd type="none" w="med" len="med"/>
          <a:tailEnd type="none" w="med" len="med"/>
        </a:ln>
        <a:effectLst/>
      </xdr:spPr>
      <xdr:txBody>
        <a:bodyPr vertOverflow="clip" vert="horz" wrap="none" lIns="0" tIns="0" rIns="0" bIns="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301228</xdr:colOff>
      <xdr:row>13</xdr:row>
      <xdr:rowOff>33337</xdr:rowOff>
    </xdr:from>
    <xdr:to>
      <xdr:col>2</xdr:col>
      <xdr:colOff>648562</xdr:colOff>
      <xdr:row>13</xdr:row>
      <xdr:rowOff>356652</xdr:rowOff>
    </xdr:to>
    <xdr:sp macro="" textlink="">
      <xdr:nvSpPr>
        <xdr:cNvPr id="19" name="Ellipse 18">
          <a:extLst>
            <a:ext uri="{FF2B5EF4-FFF2-40B4-BE49-F238E27FC236}">
              <a16:creationId xmlns:a16="http://schemas.microsoft.com/office/drawing/2014/main" id="{00000000-0008-0000-0700-000013000000}"/>
            </a:ext>
          </a:extLst>
        </xdr:cNvPr>
        <xdr:cNvSpPr/>
      </xdr:nvSpPr>
      <xdr:spPr bwMode="auto">
        <a:xfrm>
          <a:off x="691753" y="3910012"/>
          <a:ext cx="347334" cy="323315"/>
        </a:xfrm>
        <a:prstGeom prst="ellipse">
          <a:avLst/>
        </a:prstGeom>
        <a:noFill/>
        <a:ln w="9525" cap="flat" cmpd="sng" algn="ctr">
          <a:solidFill>
            <a:schemeClr val="tx1"/>
          </a:solidFill>
          <a:prstDash val="solid"/>
          <a:round/>
          <a:headEnd type="none" w="med" len="med"/>
          <a:tailEnd type="none" w="med" len="med"/>
        </a:ln>
        <a:effectLst/>
      </xdr:spPr>
      <xdr:txBody>
        <a:bodyPr vertOverflow="clip" vert="horz" wrap="none" lIns="0" tIns="0" rIns="0" bIns="0" numCol="1" rtlCol="0" anchor="ctr"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281240</xdr:colOff>
      <xdr:row>12</xdr:row>
      <xdr:rowOff>101203</xdr:rowOff>
    </xdr:from>
    <xdr:to>
      <xdr:col>2</xdr:col>
      <xdr:colOff>659079</xdr:colOff>
      <xdr:row>12</xdr:row>
      <xdr:rowOff>463826</xdr:rowOff>
    </xdr:to>
    <xdr:sp macro="" textlink="">
      <xdr:nvSpPr>
        <xdr:cNvPr id="20" name="Flussdiagramm: Zusammenführung 19">
          <a:extLst>
            <a:ext uri="{FF2B5EF4-FFF2-40B4-BE49-F238E27FC236}">
              <a16:creationId xmlns:a16="http://schemas.microsoft.com/office/drawing/2014/main" id="{00000000-0008-0000-0700-000014000000}"/>
            </a:ext>
          </a:extLst>
        </xdr:cNvPr>
        <xdr:cNvSpPr/>
      </xdr:nvSpPr>
      <xdr:spPr bwMode="auto">
        <a:xfrm>
          <a:off x="671765" y="3377803"/>
          <a:ext cx="377839" cy="362623"/>
        </a:xfrm>
        <a:prstGeom prst="flowChartSummingJunction">
          <a:avLst/>
        </a:prstGeom>
        <a:solidFill>
          <a:srgbClr val="FFFF00"/>
        </a:solidFill>
        <a:ln w="9525" cap="flat" cmpd="sng" algn="ctr">
          <a:solidFill>
            <a:srgbClr val="000000"/>
          </a:solidFill>
          <a:prstDash val="solid"/>
          <a:round/>
          <a:headEnd type="none" w="med" len="med"/>
          <a:tailEnd type="none" w="med" len="med"/>
        </a:ln>
        <a:effectLst/>
      </xdr:spPr>
      <xdr:txBody>
        <a:bodyPr vertOverflow="clip" vert="horz" wrap="none" lIns="0" tIns="0" rIns="0" bIns="0" numCol="1" rtlCol="0" anchor="ctr" anchorCtr="0" compatLnSpc="1">
          <a:prstTxWarp prst="textNoShape">
            <a:avLst/>
          </a:prstTxWarp>
        </a:bodyPr>
        <a:lstStyle/>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de-DE" sz="2400" b="0" i="0" u="none" strike="noStrike" kern="0" cap="none" spc="0" normalizeH="0" baseline="0" noProof="0">
            <a:ln>
              <a:noFill/>
            </a:ln>
            <a:solidFill>
              <a:srgbClr val="000000"/>
            </a:solidFill>
            <a:effectLst/>
            <a:uLnTx/>
            <a:uFillTx/>
            <a:latin typeface="Arial" charset="0"/>
          </a:endParaRPr>
        </a:p>
      </xdr:txBody>
    </xdr:sp>
    <xdr:clientData fLocksWithSheet="0"/>
  </xdr:twoCellAnchor>
  <xdr:oneCellAnchor>
    <xdr:from>
      <xdr:col>7</xdr:col>
      <xdr:colOff>540991</xdr:colOff>
      <xdr:row>48</xdr:row>
      <xdr:rowOff>162601</xdr:rowOff>
    </xdr:from>
    <xdr:ext cx="235618" cy="254557"/>
    <xdr:sp macro="" textlink="">
      <xdr:nvSpPr>
        <xdr:cNvPr id="21" name="Textfeld 20">
          <a:extLst>
            <a:ext uri="{FF2B5EF4-FFF2-40B4-BE49-F238E27FC236}">
              <a16:creationId xmlns:a16="http://schemas.microsoft.com/office/drawing/2014/main" id="{00000000-0008-0000-0700-000015000000}"/>
            </a:ext>
          </a:extLst>
        </xdr:cNvPr>
        <xdr:cNvSpPr txBox="1"/>
      </xdr:nvSpPr>
      <xdr:spPr>
        <a:xfrm>
          <a:off x="8370541" y="14783476"/>
          <a:ext cx="235618" cy="254557"/>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twoCellAnchor>
    <xdr:from>
      <xdr:col>7</xdr:col>
      <xdr:colOff>509900</xdr:colOff>
      <xdr:row>63</xdr:row>
      <xdr:rowOff>41672</xdr:rowOff>
    </xdr:from>
    <xdr:to>
      <xdr:col>7</xdr:col>
      <xdr:colOff>797720</xdr:colOff>
      <xdr:row>63</xdr:row>
      <xdr:rowOff>297318</xdr:rowOff>
    </xdr:to>
    <xdr:sp macro="" textlink="">
      <xdr:nvSpPr>
        <xdr:cNvPr id="22" name="Rechteck 21">
          <a:extLst>
            <a:ext uri="{FF2B5EF4-FFF2-40B4-BE49-F238E27FC236}">
              <a16:creationId xmlns:a16="http://schemas.microsoft.com/office/drawing/2014/main" id="{00000000-0008-0000-0700-000016000000}"/>
            </a:ext>
          </a:extLst>
        </xdr:cNvPr>
        <xdr:cNvSpPr/>
      </xdr:nvSpPr>
      <xdr:spPr bwMode="auto">
        <a:xfrm>
          <a:off x="8339450" y="20377547"/>
          <a:ext cx="287820" cy="255646"/>
        </a:xfrm>
        <a:prstGeom prst="rect">
          <a:avLst/>
        </a:prstGeom>
        <a:noFill/>
        <a:ln w="22225"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7</xdr:col>
      <xdr:colOff>523875</xdr:colOff>
      <xdr:row>67</xdr:row>
      <xdr:rowOff>41672</xdr:rowOff>
    </xdr:from>
    <xdr:to>
      <xdr:col>7</xdr:col>
      <xdr:colOff>811695</xdr:colOff>
      <xdr:row>67</xdr:row>
      <xdr:rowOff>297318</xdr:rowOff>
    </xdr:to>
    <xdr:sp macro="" textlink="">
      <xdr:nvSpPr>
        <xdr:cNvPr id="23" name="Rechteck 22">
          <a:extLst>
            <a:ext uri="{FF2B5EF4-FFF2-40B4-BE49-F238E27FC236}">
              <a16:creationId xmlns:a16="http://schemas.microsoft.com/office/drawing/2014/main" id="{00000000-0008-0000-0700-000017000000}"/>
            </a:ext>
          </a:extLst>
        </xdr:cNvPr>
        <xdr:cNvSpPr/>
      </xdr:nvSpPr>
      <xdr:spPr bwMode="auto">
        <a:xfrm>
          <a:off x="8353425" y="21368147"/>
          <a:ext cx="287820" cy="255646"/>
        </a:xfrm>
        <a:prstGeom prst="rect">
          <a:avLst/>
        </a:prstGeom>
        <a:noFill/>
        <a:ln w="22225"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3</xdr:col>
      <xdr:colOff>488675</xdr:colOff>
      <xdr:row>72</xdr:row>
      <xdr:rowOff>273327</xdr:rowOff>
    </xdr:from>
    <xdr:to>
      <xdr:col>3</xdr:col>
      <xdr:colOff>855021</xdr:colOff>
      <xdr:row>72</xdr:row>
      <xdr:rowOff>617692</xdr:rowOff>
    </xdr:to>
    <xdr:sp macro="" textlink="">
      <xdr:nvSpPr>
        <xdr:cNvPr id="24" name="Rechteck 23">
          <a:extLst>
            <a:ext uri="{FF2B5EF4-FFF2-40B4-BE49-F238E27FC236}">
              <a16:creationId xmlns:a16="http://schemas.microsoft.com/office/drawing/2014/main" id="{00000000-0008-0000-0700-000018000000}"/>
            </a:ext>
          </a:extLst>
        </xdr:cNvPr>
        <xdr:cNvSpPr/>
      </xdr:nvSpPr>
      <xdr:spPr bwMode="auto">
        <a:xfrm>
          <a:off x="2517500" y="23266677"/>
          <a:ext cx="366346" cy="344365"/>
        </a:xfrm>
        <a:prstGeom prst="rect">
          <a:avLst/>
        </a:prstGeom>
        <a:noFill/>
        <a:ln w="19050" cap="flat" cmpd="sng" algn="ctr">
          <a:solidFill>
            <a:schemeClr val="tx1"/>
          </a:solidFill>
          <a:prstDash val="solid"/>
          <a:round/>
          <a:headEnd type="none" w="med" len="med"/>
          <a:tailEnd type="none" w="med" len="med"/>
        </a:ln>
        <a:effectLst/>
      </xdr:spPr>
      <xdr:txBody>
        <a:bodyPr vertOverflow="clip" horzOverflow="clip" vert="horz" wrap="none" lIns="0" tIns="0" rIns="0" bIns="0" numCol="1" rtlCol="0" anchor="t" anchorCtr="0" compatLnSpc="1">
          <a:prstTxWarp prst="textNoShape">
            <a:avLst/>
          </a:prstTxWarp>
        </a:bodyPr>
        <a:lstStyle/>
        <a:p>
          <a:pPr marL="0" marR="0" indent="0" algn="l" defTabSz="914400" rtl="0" eaLnBrk="0" fontAlgn="base" latinLnBrk="0" hangingPunct="0">
            <a:lnSpc>
              <a:spcPct val="100000"/>
            </a:lnSpc>
            <a:spcBef>
              <a:spcPct val="0"/>
            </a:spcBef>
            <a:spcAft>
              <a:spcPct val="0"/>
            </a:spcAft>
            <a:buClrTx/>
            <a:buSzTx/>
            <a:buFontTx/>
            <a:buNone/>
            <a:tabLst/>
          </a:pPr>
          <a:endParaRPr kumimoji="0" lang="de-DE" sz="2400" b="0" i="0" u="none" strike="noStrike" cap="none" normalizeH="0" baseline="0">
            <a:ln>
              <a:noFill/>
            </a:ln>
            <a:solidFill>
              <a:schemeClr val="tx1"/>
            </a:solidFill>
            <a:effectLst/>
            <a:latin typeface="Arial" charset="0"/>
          </a:endParaRPr>
        </a:p>
      </xdr:txBody>
    </xdr:sp>
    <xdr:clientData/>
  </xdr:twoCellAnchor>
  <xdr:twoCellAnchor>
    <xdr:from>
      <xdr:col>2</xdr:col>
      <xdr:colOff>289523</xdr:colOff>
      <xdr:row>13</xdr:row>
      <xdr:rowOff>9266</xdr:rowOff>
    </xdr:from>
    <xdr:to>
      <xdr:col>2</xdr:col>
      <xdr:colOff>667362</xdr:colOff>
      <xdr:row>13</xdr:row>
      <xdr:rowOff>371889</xdr:rowOff>
    </xdr:to>
    <xdr:sp macro="" textlink="">
      <xdr:nvSpPr>
        <xdr:cNvPr id="25" name="Flussdiagramm: Zusammenführung 24">
          <a:extLst>
            <a:ext uri="{FF2B5EF4-FFF2-40B4-BE49-F238E27FC236}">
              <a16:creationId xmlns:a16="http://schemas.microsoft.com/office/drawing/2014/main" id="{00000000-0008-0000-0700-000019000000}"/>
            </a:ext>
          </a:extLst>
        </xdr:cNvPr>
        <xdr:cNvSpPr/>
      </xdr:nvSpPr>
      <xdr:spPr bwMode="auto">
        <a:xfrm>
          <a:off x="680048" y="3885941"/>
          <a:ext cx="377839" cy="362623"/>
        </a:xfrm>
        <a:prstGeom prst="flowChartSummingJunction">
          <a:avLst/>
        </a:prstGeom>
        <a:solidFill>
          <a:srgbClr val="00FF00"/>
        </a:solidFill>
        <a:ln w="9525" cap="flat" cmpd="sng" algn="ctr">
          <a:solidFill>
            <a:srgbClr val="000000"/>
          </a:solidFill>
          <a:prstDash val="solid"/>
          <a:round/>
          <a:headEnd type="none" w="med" len="med"/>
          <a:tailEnd type="none" w="med" len="med"/>
        </a:ln>
        <a:effectLst/>
      </xdr:spPr>
      <xdr:txBody>
        <a:bodyPr vertOverflow="clip" vert="horz" wrap="none" lIns="0" tIns="0" rIns="0" bIns="0" numCol="1" rtlCol="0" anchor="ctr" anchorCtr="0" compatLnSpc="1">
          <a:prstTxWarp prst="textNoShape">
            <a:avLst/>
          </a:prstTxWarp>
        </a:bodyPr>
        <a:lstStyle/>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de-DE" sz="2400" b="0" i="0" u="none" strike="noStrike" kern="0" cap="none" spc="0" normalizeH="0" baseline="0" noProof="0">
            <a:ln>
              <a:noFill/>
            </a:ln>
            <a:solidFill>
              <a:srgbClr val="000000"/>
            </a:solidFill>
            <a:effectLst/>
            <a:uLnTx/>
            <a:uFillTx/>
            <a:latin typeface="Arial" charset="0"/>
          </a:endParaRPr>
        </a:p>
      </xdr:txBody>
    </xdr:sp>
    <xdr:clientData fLocksWithSheet="0"/>
  </xdr:twoCellAnchor>
  <xdr:twoCellAnchor>
    <xdr:from>
      <xdr:col>2</xdr:col>
      <xdr:colOff>289523</xdr:colOff>
      <xdr:row>11</xdr:row>
      <xdr:rowOff>37841</xdr:rowOff>
    </xdr:from>
    <xdr:to>
      <xdr:col>2</xdr:col>
      <xdr:colOff>667362</xdr:colOff>
      <xdr:row>11</xdr:row>
      <xdr:rowOff>400464</xdr:rowOff>
    </xdr:to>
    <xdr:sp macro="" textlink="">
      <xdr:nvSpPr>
        <xdr:cNvPr id="26" name="Flussdiagramm: Zusammenführung 25">
          <a:extLst>
            <a:ext uri="{FF2B5EF4-FFF2-40B4-BE49-F238E27FC236}">
              <a16:creationId xmlns:a16="http://schemas.microsoft.com/office/drawing/2014/main" id="{00000000-0008-0000-0700-00001A000000}"/>
            </a:ext>
          </a:extLst>
        </xdr:cNvPr>
        <xdr:cNvSpPr/>
      </xdr:nvSpPr>
      <xdr:spPr bwMode="auto">
        <a:xfrm>
          <a:off x="680048" y="2885816"/>
          <a:ext cx="377839" cy="362623"/>
        </a:xfrm>
        <a:prstGeom prst="flowChartSummingJunction">
          <a:avLst/>
        </a:prstGeom>
        <a:solidFill>
          <a:srgbClr val="FF0000"/>
        </a:solidFill>
        <a:ln w="9525" cap="flat" cmpd="sng" algn="ctr">
          <a:solidFill>
            <a:srgbClr val="000000"/>
          </a:solidFill>
          <a:prstDash val="solid"/>
          <a:round/>
          <a:headEnd type="none" w="med" len="med"/>
          <a:tailEnd type="none" w="med" len="med"/>
        </a:ln>
        <a:effectLst/>
      </xdr:spPr>
      <xdr:txBody>
        <a:bodyPr vertOverflow="clip" vert="horz" wrap="none" lIns="0" tIns="0" rIns="0" bIns="0" numCol="1" rtlCol="0" anchor="ctr" anchorCtr="0" compatLnSpc="1">
          <a:prstTxWarp prst="textNoShape">
            <a:avLst/>
          </a:prstTxWarp>
        </a:bodyPr>
        <a:lstStyle/>
        <a:p>
          <a:pPr marL="0" marR="0" lvl="0" indent="0" algn="l" defTabSz="914400" rtl="0" eaLnBrk="0" fontAlgn="base" latinLnBrk="0" hangingPunct="0">
            <a:lnSpc>
              <a:spcPct val="100000"/>
            </a:lnSpc>
            <a:spcBef>
              <a:spcPct val="0"/>
            </a:spcBef>
            <a:spcAft>
              <a:spcPct val="0"/>
            </a:spcAft>
            <a:buClrTx/>
            <a:buSzTx/>
            <a:buFontTx/>
            <a:buNone/>
            <a:tabLst/>
            <a:defRPr/>
          </a:pPr>
          <a:endParaRPr kumimoji="0" lang="de-DE" sz="2400" b="0" i="0" u="none" strike="noStrike" kern="0" cap="none" spc="0" normalizeH="0" baseline="0" noProof="0">
            <a:ln>
              <a:noFill/>
            </a:ln>
            <a:solidFill>
              <a:srgbClr val="000000"/>
            </a:solidFill>
            <a:effectLst/>
            <a:uLnTx/>
            <a:uFillTx/>
            <a:latin typeface="Arial" charset="0"/>
          </a:endParaRPr>
        </a:p>
      </xdr:txBody>
    </xdr:sp>
    <xdr:clientData fLocksWithSheet="0"/>
  </xdr:twoCellAnchor>
  <xdr:oneCellAnchor>
    <xdr:from>
      <xdr:col>7</xdr:col>
      <xdr:colOff>540991</xdr:colOff>
      <xdr:row>50</xdr:row>
      <xdr:rowOff>215516</xdr:rowOff>
    </xdr:from>
    <xdr:ext cx="235618" cy="254557"/>
    <xdr:sp macro="" textlink="">
      <xdr:nvSpPr>
        <xdr:cNvPr id="27" name="Textfeld 26">
          <a:extLst>
            <a:ext uri="{FF2B5EF4-FFF2-40B4-BE49-F238E27FC236}">
              <a16:creationId xmlns:a16="http://schemas.microsoft.com/office/drawing/2014/main" id="{00000000-0008-0000-0700-00001B000000}"/>
            </a:ext>
          </a:extLst>
        </xdr:cNvPr>
        <xdr:cNvSpPr txBox="1"/>
      </xdr:nvSpPr>
      <xdr:spPr>
        <a:xfrm>
          <a:off x="8370541" y="15960341"/>
          <a:ext cx="235618" cy="254557"/>
        </a:xfrm>
        <a:prstGeom prst="rect">
          <a:avLst/>
        </a:prstGeom>
        <a:noFill/>
        <a:ln w="22225" cap="flat" cmpd="sng">
          <a:solidFill>
            <a:srgbClr val="000000"/>
          </a:solidFill>
        </a:ln>
        <a:effectLst/>
      </xdr:spPr>
      <xdr:txBody>
        <a:bodyPr vertOverflow="clip" horzOverflow="clip" wrap="square" lIns="72000" rIns="72000" rtlCol="0" anchor="ctr" anchorCtr="0">
          <a:noAutofit/>
        </a:body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de-DE" sz="1100" b="0" i="0" u="none" strike="noStrike" kern="0" cap="none" spc="0" normalizeH="0" baseline="0" noProof="0">
            <a:ln>
              <a:noFill/>
            </a:ln>
            <a:solidFill>
              <a:srgbClr val="000000"/>
            </a:solidFill>
            <a:effectLst/>
            <a:uLnTx/>
            <a:uFillTx/>
            <a:latin typeface="Arial"/>
          </a:endParaRPr>
        </a:p>
      </xdr:txBody>
    </xdr:sp>
    <xdr:clientData/>
  </xdr:oneCellAnchor>
</xdr:wsDr>
</file>

<file path=xl/theme/theme1.xml><?xml version="1.0" encoding="utf-8"?>
<a:theme xmlns:a="http://schemas.openxmlformats.org/drawingml/2006/main" name="Volkswagen Folienmaster">
  <a:themeElements>
    <a:clrScheme name="Volkswagen">
      <a:dk1>
        <a:srgbClr val="33434C"/>
      </a:dk1>
      <a:lt1>
        <a:srgbClr val="FFFFFF"/>
      </a:lt1>
      <a:dk2>
        <a:srgbClr val="8994A0"/>
      </a:dk2>
      <a:lt2>
        <a:srgbClr val="73B1DD"/>
      </a:lt2>
      <a:accent1>
        <a:srgbClr val="CFD7D9"/>
      </a:accent1>
      <a:accent2>
        <a:srgbClr val="003C65"/>
      </a:accent2>
      <a:accent3>
        <a:srgbClr val="2274AC"/>
      </a:accent3>
      <a:accent4>
        <a:srgbClr val="005D4D"/>
      </a:accent4>
      <a:accent5>
        <a:srgbClr val="730019"/>
      </a:accent5>
      <a:accent6>
        <a:srgbClr val="FF871F"/>
      </a:accent6>
      <a:hlink>
        <a:srgbClr val="33434C"/>
      </a:hlink>
      <a:folHlink>
        <a:srgbClr val="8994A0"/>
      </a:folHlink>
    </a:clrScheme>
    <a:fontScheme name="Volkswagen">
      <a:majorFont>
        <a:latin typeface="Arial"/>
        <a:ea typeface=""/>
        <a:cs typeface=""/>
      </a:majorFont>
      <a:minorFont>
        <a:latin typeface="Arial"/>
        <a:ea typeface=""/>
        <a:cs typefa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3343435-BC7A-4995-B2BC-ED87544C8B1A}">
  <we:reference id="WA200009404" version="1.0.0.8" store="Omex"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4"/>
  <dimension ref="A1"/>
  <sheetViews>
    <sheetView workbookViewId="0"/>
  </sheetViews>
  <sheetFormatPr baseColWidth="10" defaultRowHeight="12" x14ac:dyDescent="0.2"/>
  <sheetData/>
  <pageMargins left="0.7" right="0.7" top="0.78740157499999996" bottom="0.78740157499999996" header="0.3" footer="0.3"/>
  <headerFooter>
    <oddHeader>&amp;L&amp;"Arial"&amp;8&amp;K000000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0">
    <tabColor theme="7" tint="0.89999084444715716"/>
    <pageSetUpPr fitToPage="1"/>
  </sheetPr>
  <dimension ref="B3:U52"/>
  <sheetViews>
    <sheetView zoomScale="85" zoomScaleNormal="85" workbookViewId="0">
      <selection activeCell="G12" sqref="G12"/>
    </sheetView>
  </sheetViews>
  <sheetFormatPr baseColWidth="10" defaultColWidth="11.44140625" defaultRowHeight="15" customHeight="1" x14ac:dyDescent="0.2"/>
  <cols>
    <col min="1" max="1" width="1.44140625" style="258" customWidth="1"/>
    <col min="2" max="2" width="17.44140625" style="258" customWidth="1"/>
    <col min="3" max="5" width="11.44140625" style="258"/>
    <col min="6" max="6" width="18.21875" style="258" customWidth="1"/>
    <col min="7" max="7" width="11.44140625" style="258"/>
    <col min="8" max="8" width="1.44140625" style="258" customWidth="1"/>
    <col min="9" max="9" width="16.77734375" style="258" customWidth="1"/>
    <col min="10" max="10" width="11.44140625" style="258"/>
    <col min="11" max="11" width="11.21875" style="258" customWidth="1"/>
    <col min="12" max="12" width="11.44140625" style="258"/>
    <col min="13" max="13" width="22.21875" style="258" customWidth="1"/>
    <col min="14" max="14" width="11.44140625" style="258"/>
    <col min="15" max="15" width="1.44140625" style="258" customWidth="1"/>
    <col min="16" max="19" width="11.44140625" style="258"/>
    <col min="20" max="20" width="18.21875" style="258" customWidth="1"/>
    <col min="21" max="16384" width="11.44140625" style="258"/>
  </cols>
  <sheetData>
    <row r="3" spans="2:21" ht="17.399999999999999" x14ac:dyDescent="0.2">
      <c r="B3" s="257" t="s">
        <v>219</v>
      </c>
      <c r="C3" s="257"/>
      <c r="D3" s="257"/>
      <c r="E3" s="257"/>
      <c r="F3" s="257"/>
      <c r="G3" s="257"/>
    </row>
    <row r="4" spans="2:21" ht="15" customHeight="1" x14ac:dyDescent="0.2">
      <c r="B4" s="259"/>
      <c r="C4" s="259"/>
      <c r="D4" s="259"/>
      <c r="E4" s="259"/>
      <c r="F4" s="259"/>
      <c r="G4" s="259"/>
    </row>
    <row r="5" spans="2:21" ht="15" customHeight="1" x14ac:dyDescent="0.25">
      <c r="B5" s="260" t="s">
        <v>0</v>
      </c>
      <c r="C5" s="574"/>
      <c r="D5" s="575"/>
      <c r="E5" s="575"/>
      <c r="F5" s="575"/>
      <c r="G5" s="576"/>
      <c r="I5" s="261" t="s">
        <v>220</v>
      </c>
      <c r="J5" s="577"/>
      <c r="K5" s="578"/>
      <c r="L5" s="578"/>
      <c r="M5" s="578"/>
      <c r="N5" s="579"/>
    </row>
    <row r="6" spans="2:21" ht="15" customHeight="1" x14ac:dyDescent="0.25">
      <c r="B6" s="260" t="s">
        <v>2</v>
      </c>
      <c r="C6" s="574"/>
      <c r="D6" s="575"/>
      <c r="E6" s="575"/>
      <c r="F6" s="575"/>
      <c r="G6" s="576"/>
      <c r="I6" s="261" t="s">
        <v>3</v>
      </c>
      <c r="J6" s="580"/>
      <c r="K6" s="581"/>
      <c r="L6" s="581"/>
      <c r="M6" s="581"/>
      <c r="N6" s="582"/>
    </row>
    <row r="7" spans="2:21" ht="15" customHeight="1" x14ac:dyDescent="0.25">
      <c r="B7" s="260" t="s">
        <v>4</v>
      </c>
      <c r="C7" s="574"/>
      <c r="D7" s="575"/>
      <c r="E7" s="575"/>
      <c r="F7" s="575"/>
      <c r="G7" s="576"/>
      <c r="I7" s="260" t="s">
        <v>5</v>
      </c>
      <c r="J7" s="577"/>
      <c r="K7" s="578"/>
      <c r="L7" s="578"/>
      <c r="M7" s="578"/>
      <c r="N7" s="579"/>
    </row>
    <row r="8" spans="2:21" ht="15" customHeight="1" x14ac:dyDescent="0.25">
      <c r="B8" s="260" t="s">
        <v>6</v>
      </c>
      <c r="C8" s="574"/>
      <c r="D8" s="575"/>
      <c r="E8" s="575"/>
      <c r="F8" s="575"/>
      <c r="G8" s="576"/>
      <c r="I8" s="260" t="s">
        <v>221</v>
      </c>
      <c r="J8" s="577"/>
      <c r="K8" s="578"/>
      <c r="L8" s="578"/>
      <c r="M8" s="578"/>
      <c r="N8" s="579"/>
    </row>
    <row r="9" spans="2:21" ht="15" customHeight="1" x14ac:dyDescent="0.25">
      <c r="B9" s="260" t="s">
        <v>222</v>
      </c>
      <c r="C9" s="574"/>
      <c r="D9" s="575"/>
      <c r="E9" s="575"/>
      <c r="F9" s="575"/>
      <c r="G9" s="576"/>
    </row>
    <row r="10" spans="2:21" ht="15" customHeight="1" thickBot="1" x14ac:dyDescent="0.25">
      <c r="H10" s="262"/>
    </row>
    <row r="11" spans="2:21" ht="15" customHeight="1" thickBot="1" x14ac:dyDescent="0.3">
      <c r="B11" s="263" t="s">
        <v>7</v>
      </c>
      <c r="C11" s="264"/>
      <c r="D11" s="264"/>
      <c r="E11" s="534"/>
      <c r="F11" s="535" t="s">
        <v>223</v>
      </c>
      <c r="G11" s="265">
        <v>7.5</v>
      </c>
      <c r="I11" s="263" t="s">
        <v>8</v>
      </c>
      <c r="J11" s="264"/>
      <c r="K11" s="264"/>
      <c r="L11" s="534"/>
      <c r="M11" s="535" t="s">
        <v>223</v>
      </c>
      <c r="N11" s="265"/>
      <c r="P11" s="263" t="s">
        <v>9</v>
      </c>
      <c r="Q11" s="264"/>
      <c r="R11" s="264"/>
      <c r="S11" s="534"/>
      <c r="T11" s="535" t="s">
        <v>223</v>
      </c>
      <c r="U11" s="265"/>
    </row>
    <row r="12" spans="2:21" ht="15" customHeight="1" thickBot="1" x14ac:dyDescent="0.3">
      <c r="B12" s="266" t="s">
        <v>10</v>
      </c>
      <c r="C12" s="267"/>
      <c r="D12" s="267"/>
      <c r="E12" s="536"/>
      <c r="F12" s="537" t="s">
        <v>224</v>
      </c>
      <c r="G12" s="508">
        <f>IF(G13*G15*G16*G18=0,0,G11*G14*60*60/G13*G15*G16*G18)*G17</f>
        <v>2055.9</v>
      </c>
      <c r="I12" s="266" t="s">
        <v>10</v>
      </c>
      <c r="J12" s="267"/>
      <c r="K12" s="267"/>
      <c r="L12" s="536"/>
      <c r="M12" s="537" t="s">
        <v>224</v>
      </c>
      <c r="N12" s="508" t="e">
        <f>IF(N13*N15*N16*N18=0,0,N11*N14*60*60/N13*N15*N16*N18)*N17</f>
        <v>#DIV/0!</v>
      </c>
      <c r="P12" s="266" t="s">
        <v>10</v>
      </c>
      <c r="Q12" s="267"/>
      <c r="R12" s="267"/>
      <c r="S12" s="536"/>
      <c r="T12" s="537" t="s">
        <v>224</v>
      </c>
      <c r="U12" s="508" t="e">
        <f>IF(U13*U15*U16*U18=0,0,U11*U14*60*60/U13*U15*U16*U18)*U17</f>
        <v>#DIV/0!</v>
      </c>
    </row>
    <row r="13" spans="2:21" ht="15" customHeight="1" x14ac:dyDescent="0.25">
      <c r="B13" s="583" t="s">
        <v>381</v>
      </c>
      <c r="C13" s="584"/>
      <c r="D13" s="584"/>
      <c r="E13" s="536"/>
      <c r="F13" s="538" t="s">
        <v>225</v>
      </c>
      <c r="G13" s="509">
        <f>'OEE CalculatorSFN'!E14</f>
        <v>300</v>
      </c>
      <c r="I13" s="583" t="s">
        <v>1</v>
      </c>
      <c r="J13" s="584"/>
      <c r="K13" s="584"/>
      <c r="L13" s="536"/>
      <c r="M13" s="538" t="s">
        <v>225</v>
      </c>
      <c r="N13" s="509">
        <f>'OEE CalculatorSFN'!I14</f>
        <v>0</v>
      </c>
      <c r="P13" s="583" t="s">
        <v>1</v>
      </c>
      <c r="Q13" s="584"/>
      <c r="R13" s="584"/>
      <c r="S13" s="536"/>
      <c r="T13" s="538" t="s">
        <v>225</v>
      </c>
      <c r="U13" s="509">
        <f>'OEE CalculatorSFN'!M14</f>
        <v>0</v>
      </c>
    </row>
    <row r="14" spans="2:21" ht="15" customHeight="1" x14ac:dyDescent="0.25">
      <c r="B14" s="585"/>
      <c r="C14" s="586"/>
      <c r="D14" s="586"/>
      <c r="E14" s="536"/>
      <c r="F14" s="538" t="s">
        <v>226</v>
      </c>
      <c r="G14" s="268">
        <v>8</v>
      </c>
      <c r="I14" s="585"/>
      <c r="J14" s="586"/>
      <c r="K14" s="586"/>
      <c r="L14" s="536"/>
      <c r="M14" s="538" t="s">
        <v>226</v>
      </c>
      <c r="N14" s="268"/>
      <c r="P14" s="585"/>
      <c r="Q14" s="586"/>
      <c r="R14" s="586"/>
      <c r="S14" s="536"/>
      <c r="T14" s="538" t="s">
        <v>226</v>
      </c>
      <c r="U14" s="268"/>
    </row>
    <row r="15" spans="2:21" ht="15" customHeight="1" x14ac:dyDescent="0.25">
      <c r="B15" s="585"/>
      <c r="C15" s="586"/>
      <c r="D15" s="586"/>
      <c r="E15" s="536"/>
      <c r="F15" s="538" t="s">
        <v>11</v>
      </c>
      <c r="G15" s="510">
        <f>'OEE CalculatorSFN'!E23</f>
        <v>0.84982638888888884</v>
      </c>
      <c r="I15" s="585"/>
      <c r="J15" s="586"/>
      <c r="K15" s="586"/>
      <c r="L15" s="536"/>
      <c r="M15" s="538" t="s">
        <v>11</v>
      </c>
      <c r="N15" s="510" t="e">
        <f>'OEE CalculatorSFN'!I23</f>
        <v>#DIV/0!</v>
      </c>
      <c r="P15" s="585"/>
      <c r="Q15" s="586"/>
      <c r="R15" s="586"/>
      <c r="S15" s="536"/>
      <c r="T15" s="538" t="s">
        <v>11</v>
      </c>
      <c r="U15" s="510" t="e">
        <f>'OEE CalculatorSFN'!M23</f>
        <v>#DIV/0!</v>
      </c>
    </row>
    <row r="16" spans="2:21" ht="15" customHeight="1" thickBot="1" x14ac:dyDescent="0.3">
      <c r="B16" s="585"/>
      <c r="C16" s="586"/>
      <c r="D16" s="586"/>
      <c r="E16" s="539"/>
      <c r="F16" s="540" t="s">
        <v>227</v>
      </c>
      <c r="G16" s="511">
        <f>'OEE CalculatorSFN'!E15</f>
        <v>12</v>
      </c>
      <c r="I16" s="585"/>
      <c r="J16" s="586"/>
      <c r="K16" s="586"/>
      <c r="L16" s="539"/>
      <c r="M16" s="540" t="s">
        <v>227</v>
      </c>
      <c r="N16" s="511">
        <f>'OEE CalculatorSFN'!I15</f>
        <v>0</v>
      </c>
      <c r="P16" s="585"/>
      <c r="Q16" s="586"/>
      <c r="R16" s="586"/>
      <c r="S16" s="539"/>
      <c r="T16" s="540" t="s">
        <v>227</v>
      </c>
      <c r="U16" s="511">
        <f>'OEE CalculatorSFN'!M15</f>
        <v>0</v>
      </c>
    </row>
    <row r="17" spans="2:21" ht="15" customHeight="1" x14ac:dyDescent="0.25">
      <c r="B17" s="585"/>
      <c r="C17" s="586"/>
      <c r="D17" s="586"/>
      <c r="E17" s="589" t="s">
        <v>228</v>
      </c>
      <c r="F17" s="590"/>
      <c r="G17" s="269">
        <v>0.14000000000000001</v>
      </c>
      <c r="I17" s="585"/>
      <c r="J17" s="586"/>
      <c r="K17" s="586"/>
      <c r="L17" s="589" t="s">
        <v>228</v>
      </c>
      <c r="M17" s="590"/>
      <c r="N17" s="269"/>
      <c r="P17" s="585"/>
      <c r="Q17" s="586"/>
      <c r="R17" s="586"/>
      <c r="S17" s="589" t="s">
        <v>228</v>
      </c>
      <c r="T17" s="590"/>
      <c r="U17" s="269"/>
    </row>
    <row r="18" spans="2:21" ht="15" customHeight="1" thickBot="1" x14ac:dyDescent="0.3">
      <c r="B18" s="587"/>
      <c r="C18" s="588"/>
      <c r="D18" s="588"/>
      <c r="E18" s="541"/>
      <c r="F18" s="542" t="s">
        <v>229</v>
      </c>
      <c r="G18" s="270">
        <v>2</v>
      </c>
      <c r="I18" s="587"/>
      <c r="J18" s="588"/>
      <c r="K18" s="588"/>
      <c r="L18" s="541"/>
      <c r="M18" s="542" t="s">
        <v>229</v>
      </c>
      <c r="N18" s="270"/>
      <c r="P18" s="587"/>
      <c r="Q18" s="588"/>
      <c r="R18" s="588"/>
      <c r="S18" s="541"/>
      <c r="T18" s="542" t="s">
        <v>229</v>
      </c>
      <c r="U18" s="270"/>
    </row>
    <row r="19" spans="2:21" ht="9.75" customHeight="1" thickBot="1" x14ac:dyDescent="0.25"/>
    <row r="20" spans="2:21" ht="15" customHeight="1" thickBot="1" x14ac:dyDescent="0.3">
      <c r="B20" s="263" t="s">
        <v>12</v>
      </c>
      <c r="C20" s="264"/>
      <c r="D20" s="264"/>
      <c r="E20" s="534"/>
      <c r="F20" s="535" t="s">
        <v>223</v>
      </c>
      <c r="G20" s="265"/>
      <c r="I20" s="263" t="s">
        <v>13</v>
      </c>
      <c r="J20" s="264"/>
      <c r="K20" s="264"/>
      <c r="L20" s="534"/>
      <c r="M20" s="535" t="s">
        <v>223</v>
      </c>
      <c r="N20" s="265"/>
      <c r="P20" s="263" t="s">
        <v>14</v>
      </c>
      <c r="Q20" s="264"/>
      <c r="R20" s="264"/>
      <c r="S20" s="534"/>
      <c r="T20" s="535" t="s">
        <v>223</v>
      </c>
      <c r="U20" s="265"/>
    </row>
    <row r="21" spans="2:21" ht="15" customHeight="1" thickBot="1" x14ac:dyDescent="0.3">
      <c r="B21" s="266" t="s">
        <v>10</v>
      </c>
      <c r="C21" s="267"/>
      <c r="D21" s="267"/>
      <c r="E21" s="536"/>
      <c r="F21" s="537" t="s">
        <v>224</v>
      </c>
      <c r="G21" s="508" t="e">
        <f>IF(G22*G24*G25*G27=0,0,G20*G23*60*60/G22*G24*G25*G27)*G26</f>
        <v>#DIV/0!</v>
      </c>
      <c r="I21" s="266" t="s">
        <v>10</v>
      </c>
      <c r="J21" s="267"/>
      <c r="K21" s="267"/>
      <c r="L21" s="536"/>
      <c r="M21" s="537" t="s">
        <v>224</v>
      </c>
      <c r="N21" s="508" t="e">
        <f>IF(N22*N24*N25*N27=0,0,N20*N23*60*60/N22*N24*N25*N27)*N26</f>
        <v>#DIV/0!</v>
      </c>
      <c r="P21" s="266" t="s">
        <v>10</v>
      </c>
      <c r="Q21" s="267"/>
      <c r="R21" s="267"/>
      <c r="S21" s="536"/>
      <c r="T21" s="537" t="s">
        <v>224</v>
      </c>
      <c r="U21" s="508" t="e">
        <f>IF(U22*U24*U25*U27=0,0,U20*U23*60*60/U22*U24*U25*U27)*U26</f>
        <v>#DIV/0!</v>
      </c>
    </row>
    <row r="22" spans="2:21" ht="15" customHeight="1" x14ac:dyDescent="0.25">
      <c r="B22" s="583" t="s">
        <v>382</v>
      </c>
      <c r="C22" s="584"/>
      <c r="D22" s="584"/>
      <c r="E22" s="536"/>
      <c r="F22" s="538" t="s">
        <v>225</v>
      </c>
      <c r="G22" s="509">
        <f>'OEE CalculatorSFN'!F14</f>
        <v>0</v>
      </c>
      <c r="I22" s="583" t="s">
        <v>1</v>
      </c>
      <c r="J22" s="584"/>
      <c r="K22" s="584"/>
      <c r="L22" s="536"/>
      <c r="M22" s="538" t="s">
        <v>225</v>
      </c>
      <c r="N22" s="509">
        <f>'OEE CalculatorSFN'!J14</f>
        <v>0</v>
      </c>
      <c r="P22" s="583" t="s">
        <v>1</v>
      </c>
      <c r="Q22" s="584"/>
      <c r="R22" s="584"/>
      <c r="S22" s="536"/>
      <c r="T22" s="538" t="s">
        <v>225</v>
      </c>
      <c r="U22" s="509">
        <f>'OEE CalculatorSFN'!N14</f>
        <v>0</v>
      </c>
    </row>
    <row r="23" spans="2:21" ht="15" customHeight="1" x14ac:dyDescent="0.25">
      <c r="B23" s="585"/>
      <c r="C23" s="586"/>
      <c r="D23" s="586"/>
      <c r="E23" s="536"/>
      <c r="F23" s="538" t="s">
        <v>226</v>
      </c>
      <c r="G23" s="268"/>
      <c r="I23" s="585"/>
      <c r="J23" s="586"/>
      <c r="K23" s="586"/>
      <c r="L23" s="536"/>
      <c r="M23" s="538" t="s">
        <v>226</v>
      </c>
      <c r="N23" s="268"/>
      <c r="P23" s="585"/>
      <c r="Q23" s="586"/>
      <c r="R23" s="586"/>
      <c r="S23" s="536"/>
      <c r="T23" s="538" t="s">
        <v>226</v>
      </c>
      <c r="U23" s="268"/>
    </row>
    <row r="24" spans="2:21" ht="15" customHeight="1" x14ac:dyDescent="0.25">
      <c r="B24" s="585"/>
      <c r="C24" s="586"/>
      <c r="D24" s="586"/>
      <c r="E24" s="536"/>
      <c r="F24" s="538" t="s">
        <v>11</v>
      </c>
      <c r="G24" s="510" t="e">
        <f>'OEE CalculatorSFN'!F23</f>
        <v>#DIV/0!</v>
      </c>
      <c r="I24" s="585"/>
      <c r="J24" s="586"/>
      <c r="K24" s="586"/>
      <c r="L24" s="536"/>
      <c r="M24" s="538" t="s">
        <v>11</v>
      </c>
      <c r="N24" s="510" t="e">
        <f>'OEE CalculatorSFN'!J23</f>
        <v>#DIV/0!</v>
      </c>
      <c r="P24" s="585"/>
      <c r="Q24" s="586"/>
      <c r="R24" s="586"/>
      <c r="S24" s="536"/>
      <c r="T24" s="538" t="s">
        <v>11</v>
      </c>
      <c r="U24" s="510" t="e">
        <f>'OEE CalculatorSFN'!N23</f>
        <v>#DIV/0!</v>
      </c>
    </row>
    <row r="25" spans="2:21" ht="15" customHeight="1" thickBot="1" x14ac:dyDescent="0.3">
      <c r="B25" s="585"/>
      <c r="C25" s="586"/>
      <c r="D25" s="586"/>
      <c r="E25" s="539"/>
      <c r="F25" s="540" t="s">
        <v>227</v>
      </c>
      <c r="G25" s="511">
        <f>'OEE CalculatorSFN'!F15</f>
        <v>0</v>
      </c>
      <c r="I25" s="585"/>
      <c r="J25" s="586"/>
      <c r="K25" s="586"/>
      <c r="L25" s="539"/>
      <c r="M25" s="540" t="s">
        <v>227</v>
      </c>
      <c r="N25" s="511">
        <f>'OEE CalculatorSFN'!J15</f>
        <v>0</v>
      </c>
      <c r="P25" s="585"/>
      <c r="Q25" s="586"/>
      <c r="R25" s="586"/>
      <c r="S25" s="539"/>
      <c r="T25" s="540" t="s">
        <v>227</v>
      </c>
      <c r="U25" s="511">
        <f>'OEE CalculatorSFN'!N15</f>
        <v>0</v>
      </c>
    </row>
    <row r="26" spans="2:21" ht="15" customHeight="1" x14ac:dyDescent="0.25">
      <c r="B26" s="585"/>
      <c r="C26" s="586"/>
      <c r="D26" s="586"/>
      <c r="E26" s="589" t="s">
        <v>228</v>
      </c>
      <c r="F26" s="590"/>
      <c r="G26" s="269"/>
      <c r="I26" s="585"/>
      <c r="J26" s="586"/>
      <c r="K26" s="586"/>
      <c r="L26" s="589" t="s">
        <v>228</v>
      </c>
      <c r="M26" s="590"/>
      <c r="N26" s="269"/>
      <c r="P26" s="585"/>
      <c r="Q26" s="586"/>
      <c r="R26" s="586"/>
      <c r="S26" s="589" t="s">
        <v>228</v>
      </c>
      <c r="T26" s="590"/>
      <c r="U26" s="269"/>
    </row>
    <row r="27" spans="2:21" ht="15" customHeight="1" thickBot="1" x14ac:dyDescent="0.3">
      <c r="B27" s="587"/>
      <c r="C27" s="588"/>
      <c r="D27" s="588"/>
      <c r="E27" s="541"/>
      <c r="F27" s="542" t="s">
        <v>229</v>
      </c>
      <c r="G27" s="270"/>
      <c r="I27" s="587"/>
      <c r="J27" s="588"/>
      <c r="K27" s="588"/>
      <c r="L27" s="541"/>
      <c r="M27" s="542" t="s">
        <v>229</v>
      </c>
      <c r="N27" s="270"/>
      <c r="P27" s="587"/>
      <c r="Q27" s="588"/>
      <c r="R27" s="588"/>
      <c r="S27" s="541"/>
      <c r="T27" s="542" t="s">
        <v>229</v>
      </c>
      <c r="U27" s="270"/>
    </row>
    <row r="28" spans="2:21" ht="9.75" customHeight="1" thickBot="1" x14ac:dyDescent="0.25"/>
    <row r="29" spans="2:21" ht="15" customHeight="1" thickBot="1" x14ac:dyDescent="0.3">
      <c r="B29" s="263" t="s">
        <v>15</v>
      </c>
      <c r="C29" s="264"/>
      <c r="D29" s="264"/>
      <c r="E29" s="534"/>
      <c r="F29" s="535" t="s">
        <v>223</v>
      </c>
      <c r="G29" s="265"/>
      <c r="I29" s="263" t="s">
        <v>16</v>
      </c>
      <c r="J29" s="264"/>
      <c r="K29" s="264"/>
      <c r="L29" s="534"/>
      <c r="M29" s="535" t="s">
        <v>223</v>
      </c>
      <c r="N29" s="265"/>
      <c r="P29" s="263" t="s">
        <v>17</v>
      </c>
      <c r="Q29" s="264"/>
      <c r="R29" s="264"/>
      <c r="S29" s="534"/>
      <c r="T29" s="535" t="s">
        <v>223</v>
      </c>
      <c r="U29" s="265"/>
    </row>
    <row r="30" spans="2:21" ht="15" customHeight="1" thickBot="1" x14ac:dyDescent="0.3">
      <c r="B30" s="266" t="s">
        <v>10</v>
      </c>
      <c r="C30" s="267"/>
      <c r="D30" s="267"/>
      <c r="E30" s="536"/>
      <c r="F30" s="537" t="s">
        <v>224</v>
      </c>
      <c r="G30" s="508" t="e">
        <f>IF(G31*G33*G34*G36=0,0,G29*G32*60*60/G31*G33*G34*G36)*G35</f>
        <v>#DIV/0!</v>
      </c>
      <c r="I30" s="266" t="s">
        <v>10</v>
      </c>
      <c r="J30" s="267"/>
      <c r="K30" s="267"/>
      <c r="L30" s="536"/>
      <c r="M30" s="537" t="s">
        <v>224</v>
      </c>
      <c r="N30" s="508" t="e">
        <f>IF(N31*N33*N34*N36=0,0,N29*N32*60*60/N31*N33*N34*N36)*N35</f>
        <v>#DIV/0!</v>
      </c>
      <c r="P30" s="266" t="s">
        <v>10</v>
      </c>
      <c r="Q30" s="267"/>
      <c r="R30" s="267"/>
      <c r="S30" s="536"/>
      <c r="T30" s="537" t="s">
        <v>224</v>
      </c>
      <c r="U30" s="508" t="e">
        <f>IF(U31*U33*U34*U36=0,0,U29*U32*60*60/U31*U33*U34*U36)*U35</f>
        <v>#DIV/0!</v>
      </c>
    </row>
    <row r="31" spans="2:21" ht="15" customHeight="1" x14ac:dyDescent="0.25">
      <c r="B31" s="583" t="s">
        <v>383</v>
      </c>
      <c r="C31" s="584"/>
      <c r="D31" s="584"/>
      <c r="E31" s="536"/>
      <c r="F31" s="538" t="s">
        <v>225</v>
      </c>
      <c r="G31" s="509">
        <f>'OEE CalculatorSFN'!G14</f>
        <v>0</v>
      </c>
      <c r="I31" s="583" t="s">
        <v>1</v>
      </c>
      <c r="J31" s="584"/>
      <c r="K31" s="584"/>
      <c r="L31" s="536"/>
      <c r="M31" s="538" t="s">
        <v>225</v>
      </c>
      <c r="N31" s="509">
        <f>'OEE CalculatorSFN'!K14</f>
        <v>0</v>
      </c>
      <c r="P31" s="583" t="s">
        <v>1</v>
      </c>
      <c r="Q31" s="584"/>
      <c r="R31" s="584"/>
      <c r="S31" s="536"/>
      <c r="T31" s="538" t="s">
        <v>225</v>
      </c>
      <c r="U31" s="509">
        <f>'OEE CalculatorSFN'!O14</f>
        <v>0</v>
      </c>
    </row>
    <row r="32" spans="2:21" ht="15" customHeight="1" x14ac:dyDescent="0.25">
      <c r="B32" s="585"/>
      <c r="C32" s="586"/>
      <c r="D32" s="586"/>
      <c r="E32" s="536"/>
      <c r="F32" s="538" t="s">
        <v>226</v>
      </c>
      <c r="G32" s="268"/>
      <c r="I32" s="585"/>
      <c r="J32" s="586"/>
      <c r="K32" s="586"/>
      <c r="L32" s="536"/>
      <c r="M32" s="538" t="s">
        <v>226</v>
      </c>
      <c r="N32" s="268"/>
      <c r="P32" s="585"/>
      <c r="Q32" s="586"/>
      <c r="R32" s="586"/>
      <c r="S32" s="536"/>
      <c r="T32" s="538" t="s">
        <v>226</v>
      </c>
      <c r="U32" s="268"/>
    </row>
    <row r="33" spans="2:21" ht="15" customHeight="1" x14ac:dyDescent="0.25">
      <c r="B33" s="585"/>
      <c r="C33" s="586"/>
      <c r="D33" s="586"/>
      <c r="E33" s="536"/>
      <c r="F33" s="538" t="s">
        <v>11</v>
      </c>
      <c r="G33" s="510" t="e">
        <f>'OEE CalculatorSFN'!G23</f>
        <v>#DIV/0!</v>
      </c>
      <c r="I33" s="585"/>
      <c r="J33" s="586"/>
      <c r="K33" s="586"/>
      <c r="L33" s="536"/>
      <c r="M33" s="538" t="s">
        <v>11</v>
      </c>
      <c r="N33" s="510" t="e">
        <f>'OEE CalculatorSFN'!K23</f>
        <v>#DIV/0!</v>
      </c>
      <c r="P33" s="585"/>
      <c r="Q33" s="586"/>
      <c r="R33" s="586"/>
      <c r="S33" s="536"/>
      <c r="T33" s="538" t="s">
        <v>11</v>
      </c>
      <c r="U33" s="510" t="e">
        <f>'OEE CalculatorSFN'!O23</f>
        <v>#DIV/0!</v>
      </c>
    </row>
    <row r="34" spans="2:21" ht="15" customHeight="1" thickBot="1" x14ac:dyDescent="0.3">
      <c r="B34" s="585"/>
      <c r="C34" s="586"/>
      <c r="D34" s="586"/>
      <c r="E34" s="539"/>
      <c r="F34" s="540" t="s">
        <v>227</v>
      </c>
      <c r="G34" s="511">
        <f>'OEE CalculatorSFN'!G15</f>
        <v>0</v>
      </c>
      <c r="I34" s="585"/>
      <c r="J34" s="586"/>
      <c r="K34" s="586"/>
      <c r="L34" s="539"/>
      <c r="M34" s="540" t="s">
        <v>227</v>
      </c>
      <c r="N34" s="511">
        <f>'OEE CalculatorSFN'!K15</f>
        <v>0</v>
      </c>
      <c r="P34" s="585"/>
      <c r="Q34" s="586"/>
      <c r="R34" s="586"/>
      <c r="S34" s="539"/>
      <c r="T34" s="540" t="s">
        <v>227</v>
      </c>
      <c r="U34" s="511">
        <f>'OEE CalculatorSFN'!O15</f>
        <v>0</v>
      </c>
    </row>
    <row r="35" spans="2:21" ht="15" customHeight="1" x14ac:dyDescent="0.25">
      <c r="B35" s="585"/>
      <c r="C35" s="586"/>
      <c r="D35" s="586"/>
      <c r="E35" s="589" t="s">
        <v>228</v>
      </c>
      <c r="F35" s="590"/>
      <c r="G35" s="269"/>
      <c r="I35" s="585"/>
      <c r="J35" s="586"/>
      <c r="K35" s="586"/>
      <c r="L35" s="589" t="s">
        <v>228</v>
      </c>
      <c r="M35" s="590"/>
      <c r="N35" s="269"/>
      <c r="P35" s="585"/>
      <c r="Q35" s="586"/>
      <c r="R35" s="586"/>
      <c r="S35" s="589" t="s">
        <v>228</v>
      </c>
      <c r="T35" s="590"/>
      <c r="U35" s="269"/>
    </row>
    <row r="36" spans="2:21" ht="15" customHeight="1" thickBot="1" x14ac:dyDescent="0.3">
      <c r="B36" s="587"/>
      <c r="C36" s="588"/>
      <c r="D36" s="588"/>
      <c r="E36" s="541"/>
      <c r="F36" s="542" t="s">
        <v>229</v>
      </c>
      <c r="G36" s="270"/>
      <c r="I36" s="587"/>
      <c r="J36" s="588"/>
      <c r="K36" s="588"/>
      <c r="L36" s="541"/>
      <c r="M36" s="542" t="s">
        <v>229</v>
      </c>
      <c r="N36" s="270"/>
      <c r="P36" s="587"/>
      <c r="Q36" s="588"/>
      <c r="R36" s="588"/>
      <c r="S36" s="541"/>
      <c r="T36" s="542" t="s">
        <v>229</v>
      </c>
      <c r="U36" s="270"/>
    </row>
    <row r="37" spans="2:21" ht="9.75" customHeight="1" thickBot="1" x14ac:dyDescent="0.25"/>
    <row r="38" spans="2:21" ht="15" customHeight="1" thickBot="1" x14ac:dyDescent="0.3">
      <c r="B38" s="263" t="s">
        <v>18</v>
      </c>
      <c r="C38" s="264"/>
      <c r="D38" s="264"/>
      <c r="E38" s="534"/>
      <c r="F38" s="535" t="s">
        <v>223</v>
      </c>
      <c r="G38" s="265"/>
      <c r="I38" s="263" t="s">
        <v>19</v>
      </c>
      <c r="J38" s="264"/>
      <c r="K38" s="264"/>
      <c r="L38" s="534"/>
      <c r="M38" s="535" t="s">
        <v>223</v>
      </c>
      <c r="N38" s="265"/>
      <c r="P38" s="263" t="s">
        <v>20</v>
      </c>
      <c r="Q38" s="264"/>
      <c r="R38" s="264"/>
      <c r="S38" s="534"/>
      <c r="T38" s="535" t="s">
        <v>223</v>
      </c>
      <c r="U38" s="265"/>
    </row>
    <row r="39" spans="2:21" ht="15" customHeight="1" thickBot="1" x14ac:dyDescent="0.3">
      <c r="B39" s="266" t="s">
        <v>10</v>
      </c>
      <c r="C39" s="267"/>
      <c r="D39" s="267"/>
      <c r="E39" s="536"/>
      <c r="F39" s="537" t="s">
        <v>224</v>
      </c>
      <c r="G39" s="508" t="e">
        <f>IF(G40*G42*G43*G45=0,0,G38*G41*60*60/G40*G42*G43*G45)*G44</f>
        <v>#DIV/0!</v>
      </c>
      <c r="I39" s="266" t="s">
        <v>10</v>
      </c>
      <c r="J39" s="267"/>
      <c r="K39" s="267"/>
      <c r="L39" s="536"/>
      <c r="M39" s="537" t="s">
        <v>224</v>
      </c>
      <c r="N39" s="508" t="e">
        <f>IF(N40*N42*N43*N45=0,0,N38*N41*60*60/N40*N42*N43*N45)*N44</f>
        <v>#DIV/0!</v>
      </c>
      <c r="P39" s="266" t="s">
        <v>10</v>
      </c>
      <c r="Q39" s="267"/>
      <c r="R39" s="267"/>
      <c r="S39" s="536"/>
      <c r="T39" s="537" t="s">
        <v>224</v>
      </c>
      <c r="U39" s="508" t="e">
        <f>IF(U40*U42*U43*U45=0,0,U38*U41*60*60/U40*U42*U43*U45)*U44</f>
        <v>#DIV/0!</v>
      </c>
    </row>
    <row r="40" spans="2:21" ht="15" customHeight="1" x14ac:dyDescent="0.25">
      <c r="B40" s="583" t="s">
        <v>1</v>
      </c>
      <c r="C40" s="584"/>
      <c r="D40" s="584"/>
      <c r="E40" s="536"/>
      <c r="F40" s="538" t="s">
        <v>225</v>
      </c>
      <c r="G40" s="509">
        <f>'OEE CalculatorSFN'!H14</f>
        <v>0</v>
      </c>
      <c r="I40" s="583" t="s">
        <v>1</v>
      </c>
      <c r="J40" s="584"/>
      <c r="K40" s="584"/>
      <c r="L40" s="536"/>
      <c r="M40" s="538" t="s">
        <v>225</v>
      </c>
      <c r="N40" s="509">
        <f>'OEE CalculatorSFN'!L14</f>
        <v>0</v>
      </c>
      <c r="P40" s="583" t="s">
        <v>1</v>
      </c>
      <c r="Q40" s="584"/>
      <c r="R40" s="584"/>
      <c r="S40" s="536"/>
      <c r="T40" s="538" t="s">
        <v>225</v>
      </c>
      <c r="U40" s="509">
        <f>'OEE CalculatorSFN'!P14</f>
        <v>0</v>
      </c>
    </row>
    <row r="41" spans="2:21" ht="15" customHeight="1" x14ac:dyDescent="0.25">
      <c r="B41" s="585"/>
      <c r="C41" s="586"/>
      <c r="D41" s="586"/>
      <c r="E41" s="536"/>
      <c r="F41" s="538" t="s">
        <v>226</v>
      </c>
      <c r="G41" s="268"/>
      <c r="I41" s="585"/>
      <c r="J41" s="586"/>
      <c r="K41" s="586"/>
      <c r="L41" s="536"/>
      <c r="M41" s="538" t="s">
        <v>226</v>
      </c>
      <c r="N41" s="268"/>
      <c r="P41" s="585"/>
      <c r="Q41" s="586"/>
      <c r="R41" s="586"/>
      <c r="S41" s="536"/>
      <c r="T41" s="538" t="s">
        <v>226</v>
      </c>
      <c r="U41" s="268"/>
    </row>
    <row r="42" spans="2:21" ht="15" customHeight="1" x14ac:dyDescent="0.25">
      <c r="B42" s="585"/>
      <c r="C42" s="586"/>
      <c r="D42" s="586"/>
      <c r="E42" s="536"/>
      <c r="F42" s="538" t="s">
        <v>11</v>
      </c>
      <c r="G42" s="510" t="e">
        <f>'OEE CalculatorSFN'!H23</f>
        <v>#DIV/0!</v>
      </c>
      <c r="I42" s="585"/>
      <c r="J42" s="586"/>
      <c r="K42" s="586"/>
      <c r="L42" s="536"/>
      <c r="M42" s="538" t="s">
        <v>11</v>
      </c>
      <c r="N42" s="510" t="e">
        <f>'OEE CalculatorSFN'!L23</f>
        <v>#DIV/0!</v>
      </c>
      <c r="P42" s="585"/>
      <c r="Q42" s="586"/>
      <c r="R42" s="586"/>
      <c r="S42" s="536"/>
      <c r="T42" s="538" t="s">
        <v>11</v>
      </c>
      <c r="U42" s="510" t="e">
        <f>'OEE CalculatorSFN'!P23</f>
        <v>#DIV/0!</v>
      </c>
    </row>
    <row r="43" spans="2:21" ht="15" customHeight="1" thickBot="1" x14ac:dyDescent="0.3">
      <c r="B43" s="585"/>
      <c r="C43" s="586"/>
      <c r="D43" s="586"/>
      <c r="E43" s="539"/>
      <c r="F43" s="540" t="s">
        <v>227</v>
      </c>
      <c r="G43" s="511">
        <f>'OEE CalculatorSFN'!H15</f>
        <v>0</v>
      </c>
      <c r="I43" s="585"/>
      <c r="J43" s="586"/>
      <c r="K43" s="586"/>
      <c r="L43" s="539"/>
      <c r="M43" s="540" t="s">
        <v>227</v>
      </c>
      <c r="N43" s="511">
        <f>'OEE CalculatorSFN'!L15</f>
        <v>0</v>
      </c>
      <c r="P43" s="585"/>
      <c r="Q43" s="586"/>
      <c r="R43" s="586"/>
      <c r="S43" s="539"/>
      <c r="T43" s="540" t="s">
        <v>227</v>
      </c>
      <c r="U43" s="511">
        <f>'OEE CalculatorSFN'!P15</f>
        <v>0</v>
      </c>
    </row>
    <row r="44" spans="2:21" ht="15" customHeight="1" x14ac:dyDescent="0.25">
      <c r="B44" s="585"/>
      <c r="C44" s="586"/>
      <c r="D44" s="586"/>
      <c r="E44" s="589" t="s">
        <v>228</v>
      </c>
      <c r="F44" s="590"/>
      <c r="G44" s="269"/>
      <c r="I44" s="585"/>
      <c r="J44" s="586"/>
      <c r="K44" s="586"/>
      <c r="L44" s="589" t="s">
        <v>228</v>
      </c>
      <c r="M44" s="590"/>
      <c r="N44" s="269"/>
      <c r="P44" s="585"/>
      <c r="Q44" s="586"/>
      <c r="R44" s="586"/>
      <c r="S44" s="589" t="s">
        <v>228</v>
      </c>
      <c r="T44" s="590"/>
      <c r="U44" s="269"/>
    </row>
    <row r="45" spans="2:21" ht="15" customHeight="1" thickBot="1" x14ac:dyDescent="0.3">
      <c r="B45" s="587"/>
      <c r="C45" s="588"/>
      <c r="D45" s="588"/>
      <c r="E45" s="541"/>
      <c r="F45" s="542" t="s">
        <v>229</v>
      </c>
      <c r="G45" s="270"/>
      <c r="I45" s="587"/>
      <c r="J45" s="588"/>
      <c r="K45" s="588"/>
      <c r="L45" s="541"/>
      <c r="M45" s="542" t="s">
        <v>229</v>
      </c>
      <c r="N45" s="270"/>
      <c r="P45" s="587"/>
      <c r="Q45" s="588"/>
      <c r="R45" s="588"/>
      <c r="S45" s="541"/>
      <c r="T45" s="542" t="s">
        <v>229</v>
      </c>
      <c r="U45" s="270"/>
    </row>
    <row r="46" spans="2:21" ht="15" customHeight="1" thickBot="1" x14ac:dyDescent="0.25"/>
    <row r="47" spans="2:21" ht="15" customHeight="1" thickBot="1" x14ac:dyDescent="0.3">
      <c r="B47" s="271"/>
      <c r="C47" s="272" t="s">
        <v>230</v>
      </c>
      <c r="T47" s="273"/>
      <c r="U47" s="274"/>
    </row>
    <row r="48" spans="2:21" ht="15" customHeight="1" thickBot="1" x14ac:dyDescent="0.3">
      <c r="B48" s="275"/>
      <c r="C48" s="272" t="s">
        <v>231</v>
      </c>
      <c r="T48" s="276"/>
      <c r="U48" s="277"/>
    </row>
    <row r="49" spans="2:21" ht="15" customHeight="1" thickBot="1" x14ac:dyDescent="0.3">
      <c r="B49" s="278"/>
      <c r="C49" s="272" t="s">
        <v>232</v>
      </c>
      <c r="T49" s="276"/>
      <c r="U49" s="279"/>
    </row>
    <row r="50" spans="2:21" ht="15" customHeight="1" x14ac:dyDescent="0.25">
      <c r="T50" s="276"/>
      <c r="U50" s="280"/>
    </row>
    <row r="51" spans="2:21" ht="15" customHeight="1" x14ac:dyDescent="0.25">
      <c r="B51" s="258" t="s">
        <v>233</v>
      </c>
      <c r="T51" s="276"/>
      <c r="U51" s="280"/>
    </row>
    <row r="52" spans="2:21" ht="15" customHeight="1" x14ac:dyDescent="0.25">
      <c r="T52" s="276"/>
      <c r="U52" s="281"/>
    </row>
  </sheetData>
  <sheetProtection algorithmName="SHA-512" hashValue="N34FM2Zj2uSJwpJ+9JZiNPfYkmUGVyW9ud2ORAwi0m5JKqFmHVKa+tsuX3TU3Pgki8nv+B8ugoGbJaoc9A/7HQ==" saltValue="D0x7M8s5r1CQwBWsduzafA==" spinCount="100000" sheet="1" objects="1" scenarios="1"/>
  <mergeCells count="33">
    <mergeCell ref="S44:T44"/>
    <mergeCell ref="B31:D36"/>
    <mergeCell ref="I31:K36"/>
    <mergeCell ref="P31:R36"/>
    <mergeCell ref="E35:F35"/>
    <mergeCell ref="L35:M35"/>
    <mergeCell ref="S35:T35"/>
    <mergeCell ref="B40:D45"/>
    <mergeCell ref="I40:K45"/>
    <mergeCell ref="P40:R45"/>
    <mergeCell ref="E44:F44"/>
    <mergeCell ref="L44:M44"/>
    <mergeCell ref="S17:T17"/>
    <mergeCell ref="B22:D27"/>
    <mergeCell ref="I22:K27"/>
    <mergeCell ref="P22:R27"/>
    <mergeCell ref="E26:F26"/>
    <mergeCell ref="L26:M26"/>
    <mergeCell ref="S26:T26"/>
    <mergeCell ref="P13:R18"/>
    <mergeCell ref="C8:G8"/>
    <mergeCell ref="J8:N8"/>
    <mergeCell ref="C9:G9"/>
    <mergeCell ref="B13:D18"/>
    <mergeCell ref="I13:K18"/>
    <mergeCell ref="E17:F17"/>
    <mergeCell ref="L17:M17"/>
    <mergeCell ref="C5:G5"/>
    <mergeCell ref="J5:N5"/>
    <mergeCell ref="C6:G6"/>
    <mergeCell ref="J6:N6"/>
    <mergeCell ref="C7:G7"/>
    <mergeCell ref="J7:N7"/>
  </mergeCells>
  <pageMargins left="0.25" right="0.25" top="0.75" bottom="0.75" header="0.3" footer="0.3"/>
  <pageSetup paperSize="9" scale="62" orientation="landscape" r:id="rId1"/>
  <headerFooter alignWithMargins="0">
    <oddHeader>&amp;L&amp;"Arial"&amp;8&amp;K000000 INTERNAL&amp;1#_x000D_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1">
    <tabColor rgb="FFFFFF00"/>
    <pageSetUpPr fitToPage="1"/>
  </sheetPr>
  <dimension ref="B1:P31"/>
  <sheetViews>
    <sheetView tabSelected="1" zoomScale="115" zoomScaleNormal="115" workbookViewId="0">
      <selection activeCell="F13" sqref="F13:F15"/>
    </sheetView>
  </sheetViews>
  <sheetFormatPr baseColWidth="10" defaultColWidth="11.44140625" defaultRowHeight="12" x14ac:dyDescent="0.2"/>
  <cols>
    <col min="1" max="1" width="2.21875" style="258" customWidth="1"/>
    <col min="2" max="2" width="4.21875" style="258" customWidth="1"/>
    <col min="3" max="3" width="19.44140625" style="283" customWidth="1"/>
    <col min="4" max="4" width="38.44140625" style="258" customWidth="1"/>
    <col min="5" max="8" width="11.77734375" style="283" customWidth="1"/>
    <col min="9" max="16" width="11.77734375" style="258" customWidth="1"/>
    <col min="17" max="16384" width="11.44140625" style="258"/>
  </cols>
  <sheetData>
    <row r="1" spans="2:16" ht="15" customHeight="1" x14ac:dyDescent="0.2">
      <c r="C1" s="258"/>
      <c r="E1" s="258"/>
      <c r="F1" s="258"/>
      <c r="G1" s="258"/>
      <c r="H1" s="258"/>
    </row>
    <row r="2" spans="2:16" ht="15" customHeight="1" x14ac:dyDescent="0.25">
      <c r="C2" s="258"/>
      <c r="E2" s="258"/>
      <c r="F2" s="258"/>
      <c r="G2" s="258"/>
      <c r="H2" s="258"/>
      <c r="I2" s="282"/>
    </row>
    <row r="3" spans="2:16" ht="15" customHeight="1" x14ac:dyDescent="0.2">
      <c r="B3" s="257"/>
      <c r="C3" s="257" t="s">
        <v>234</v>
      </c>
      <c r="D3" s="257"/>
      <c r="E3" s="257"/>
      <c r="F3" s="257"/>
      <c r="G3" s="257"/>
      <c r="H3" s="258"/>
    </row>
    <row r="4" spans="2:16" ht="15" customHeight="1" x14ac:dyDescent="0.2">
      <c r="B4" s="257"/>
      <c r="C4" s="257"/>
      <c r="D4" s="257"/>
      <c r="E4" s="257"/>
      <c r="F4" s="257"/>
      <c r="G4" s="257"/>
      <c r="H4" s="258"/>
    </row>
    <row r="5" spans="2:16" ht="12.6" x14ac:dyDescent="0.25">
      <c r="D5" s="260" t="s">
        <v>0</v>
      </c>
      <c r="E5" s="591">
        <f>CapacitySFN!C5</f>
        <v>0</v>
      </c>
      <c r="F5" s="592"/>
      <c r="G5" s="592"/>
      <c r="H5" s="592"/>
      <c r="I5" s="593"/>
      <c r="K5" s="261" t="s">
        <v>220</v>
      </c>
      <c r="L5" s="591">
        <f>CapacitySFN!J5</f>
        <v>0</v>
      </c>
      <c r="M5" s="592"/>
      <c r="N5" s="592"/>
      <c r="O5" s="592"/>
      <c r="P5" s="593"/>
    </row>
    <row r="6" spans="2:16" ht="12.6" x14ac:dyDescent="0.25">
      <c r="D6" s="260" t="s">
        <v>2</v>
      </c>
      <c r="E6" s="591">
        <f>CapacitySFN!C6</f>
        <v>0</v>
      </c>
      <c r="F6" s="592"/>
      <c r="G6" s="592"/>
      <c r="H6" s="592"/>
      <c r="I6" s="593"/>
      <c r="K6" s="261" t="s">
        <v>3</v>
      </c>
      <c r="L6" s="594">
        <f>CapacitySFN!J6</f>
        <v>0</v>
      </c>
      <c r="M6" s="595"/>
      <c r="N6" s="595"/>
      <c r="O6" s="595"/>
      <c r="P6" s="596"/>
    </row>
    <row r="7" spans="2:16" ht="12.6" x14ac:dyDescent="0.25">
      <c r="D7" s="260" t="s">
        <v>4</v>
      </c>
      <c r="E7" s="591">
        <f>CapacitySFN!C7</f>
        <v>0</v>
      </c>
      <c r="F7" s="592"/>
      <c r="G7" s="592"/>
      <c r="H7" s="592"/>
      <c r="I7" s="593"/>
      <c r="K7" s="260" t="s">
        <v>5</v>
      </c>
      <c r="L7" s="591">
        <f>CapacitySFN!J7</f>
        <v>0</v>
      </c>
      <c r="M7" s="592"/>
      <c r="N7" s="592"/>
      <c r="O7" s="592"/>
      <c r="P7" s="593"/>
    </row>
    <row r="8" spans="2:16" ht="12.6" x14ac:dyDescent="0.25">
      <c r="D8" s="260" t="s">
        <v>6</v>
      </c>
      <c r="E8" s="591">
        <f>CapacitySFN!C8</f>
        <v>0</v>
      </c>
      <c r="F8" s="592"/>
      <c r="G8" s="592"/>
      <c r="H8" s="592"/>
      <c r="I8" s="593"/>
      <c r="K8" s="260" t="s">
        <v>221</v>
      </c>
      <c r="L8" s="591">
        <f>CapacitySFN!J8</f>
        <v>0</v>
      </c>
      <c r="M8" s="592"/>
      <c r="N8" s="592"/>
      <c r="O8" s="592"/>
      <c r="P8" s="593"/>
    </row>
    <row r="9" spans="2:16" ht="12.6" x14ac:dyDescent="0.25">
      <c r="D9" s="260" t="s">
        <v>222</v>
      </c>
      <c r="E9" s="591">
        <f>CapacitySFN!C9</f>
        <v>0</v>
      </c>
      <c r="F9" s="592"/>
      <c r="G9" s="592"/>
      <c r="H9" s="592"/>
      <c r="I9" s="593"/>
    </row>
    <row r="10" spans="2:16" ht="12.6" thickBot="1" x14ac:dyDescent="0.25"/>
    <row r="11" spans="2:16" x14ac:dyDescent="0.2">
      <c r="B11" s="512"/>
      <c r="C11" s="284"/>
      <c r="D11" s="513"/>
      <c r="E11" s="284" t="s">
        <v>7</v>
      </c>
      <c r="F11" s="284" t="s">
        <v>12</v>
      </c>
      <c r="G11" s="284" t="s">
        <v>15</v>
      </c>
      <c r="H11" s="284" t="s">
        <v>18</v>
      </c>
      <c r="I11" s="284" t="s">
        <v>8</v>
      </c>
      <c r="J11" s="284" t="s">
        <v>13</v>
      </c>
      <c r="K11" s="284" t="s">
        <v>16</v>
      </c>
      <c r="L11" s="284" t="s">
        <v>19</v>
      </c>
      <c r="M11" s="284" t="s">
        <v>9</v>
      </c>
      <c r="N11" s="284" t="s">
        <v>14</v>
      </c>
      <c r="O11" s="284" t="s">
        <v>17</v>
      </c>
      <c r="P11" s="285" t="s">
        <v>20</v>
      </c>
    </row>
    <row r="12" spans="2:16" ht="46.5" customHeight="1" x14ac:dyDescent="0.2">
      <c r="B12" s="514" t="s">
        <v>21</v>
      </c>
      <c r="C12" s="286" t="s">
        <v>235</v>
      </c>
      <c r="D12" s="286"/>
      <c r="E12" s="286" t="str">
        <f>CapacitySFN!B13</f>
        <v>Mesa de corte</v>
      </c>
      <c r="F12" s="286" t="str">
        <f>CapacitySFN!B22</f>
        <v>Costura</v>
      </c>
      <c r="G12" s="286" t="str">
        <f>CapacitySFN!B31</f>
        <v>Proceso PIP</v>
      </c>
      <c r="H12" s="286" t="str">
        <f>CapacitySFN!B40</f>
        <v>xxx</v>
      </c>
      <c r="I12" s="286" t="str">
        <f>CapacitySFN!I13</f>
        <v>xxx</v>
      </c>
      <c r="J12" s="286" t="str">
        <f>CapacitySFN!I22</f>
        <v>xxx</v>
      </c>
      <c r="K12" s="286" t="str">
        <f>CapacitySFN!I31</f>
        <v>xxx</v>
      </c>
      <c r="L12" s="286" t="str">
        <f>CapacitySFN!I40</f>
        <v>xxx</v>
      </c>
      <c r="M12" s="286" t="str">
        <f>CapacitySFN!P13</f>
        <v>xxx</v>
      </c>
      <c r="N12" s="286" t="str">
        <f>CapacitySFN!P22</f>
        <v>xxx</v>
      </c>
      <c r="O12" s="286" t="str">
        <f>CapacitySFN!P31</f>
        <v>xxx</v>
      </c>
      <c r="P12" s="287" t="str">
        <f>CapacitySFN!P40</f>
        <v>xxx</v>
      </c>
    </row>
    <row r="13" spans="2:16" ht="12.75" customHeight="1" x14ac:dyDescent="0.2">
      <c r="B13" s="515" t="s">
        <v>22</v>
      </c>
      <c r="C13" s="516"/>
      <c r="D13" s="517" t="s">
        <v>236</v>
      </c>
      <c r="E13" s="288">
        <v>480</v>
      </c>
      <c r="F13" s="288"/>
      <c r="G13" s="288"/>
      <c r="H13" s="288"/>
      <c r="I13" s="288"/>
      <c r="J13" s="288"/>
      <c r="K13" s="288"/>
      <c r="L13" s="288"/>
      <c r="M13" s="288"/>
      <c r="N13" s="288"/>
      <c r="O13" s="288"/>
      <c r="P13" s="289"/>
    </row>
    <row r="14" spans="2:16" ht="12.75" customHeight="1" x14ac:dyDescent="0.2">
      <c r="B14" s="515" t="s">
        <v>23</v>
      </c>
      <c r="C14" s="516"/>
      <c r="D14" s="517" t="s">
        <v>237</v>
      </c>
      <c r="E14" s="290">
        <v>300</v>
      </c>
      <c r="F14" s="290"/>
      <c r="G14" s="290"/>
      <c r="H14" s="290"/>
      <c r="I14" s="290"/>
      <c r="J14" s="290"/>
      <c r="K14" s="290"/>
      <c r="L14" s="290"/>
      <c r="M14" s="290"/>
      <c r="N14" s="290"/>
      <c r="O14" s="290"/>
      <c r="P14" s="291"/>
    </row>
    <row r="15" spans="2:16" ht="13.2" x14ac:dyDescent="0.2">
      <c r="B15" s="515" t="s">
        <v>24</v>
      </c>
      <c r="C15" s="516"/>
      <c r="D15" s="517" t="s">
        <v>25</v>
      </c>
      <c r="E15" s="292">
        <v>12</v>
      </c>
      <c r="F15" s="292"/>
      <c r="G15" s="292"/>
      <c r="H15" s="292"/>
      <c r="I15" s="292"/>
      <c r="J15" s="292"/>
      <c r="K15" s="292"/>
      <c r="L15" s="292"/>
      <c r="M15" s="292"/>
      <c r="N15" s="292"/>
      <c r="O15" s="292"/>
      <c r="P15" s="293"/>
    </row>
    <row r="16" spans="2:16" x14ac:dyDescent="0.2">
      <c r="B16" s="518" t="s">
        <v>26</v>
      </c>
      <c r="C16" s="519" t="s">
        <v>238</v>
      </c>
      <c r="D16" s="520" t="s">
        <v>239</v>
      </c>
      <c r="E16" s="294">
        <f>E13*60/E14*E15</f>
        <v>1152</v>
      </c>
      <c r="F16" s="294" t="e">
        <f>F13*60/F14*F15</f>
        <v>#DIV/0!</v>
      </c>
      <c r="G16" s="294" t="e">
        <f>G13*60/G14*G15</f>
        <v>#DIV/0!</v>
      </c>
      <c r="H16" s="294" t="e">
        <f t="shared" ref="H16:P16" si="0">H13*60/H14*H15</f>
        <v>#DIV/0!</v>
      </c>
      <c r="I16" s="294" t="e">
        <f t="shared" si="0"/>
        <v>#DIV/0!</v>
      </c>
      <c r="J16" s="294" t="e">
        <f t="shared" si="0"/>
        <v>#DIV/0!</v>
      </c>
      <c r="K16" s="294" t="e">
        <f t="shared" si="0"/>
        <v>#DIV/0!</v>
      </c>
      <c r="L16" s="294" t="e">
        <f t="shared" si="0"/>
        <v>#DIV/0!</v>
      </c>
      <c r="M16" s="294" t="e">
        <f t="shared" si="0"/>
        <v>#DIV/0!</v>
      </c>
      <c r="N16" s="294" t="e">
        <f t="shared" si="0"/>
        <v>#DIV/0!</v>
      </c>
      <c r="O16" s="294" t="e">
        <f t="shared" si="0"/>
        <v>#DIV/0!</v>
      </c>
      <c r="P16" s="294" t="e">
        <f t="shared" si="0"/>
        <v>#DIV/0!</v>
      </c>
    </row>
    <row r="17" spans="2:16" ht="13.2" x14ac:dyDescent="0.2">
      <c r="B17" s="515" t="s">
        <v>27</v>
      </c>
      <c r="C17" s="516"/>
      <c r="D17" s="517" t="s">
        <v>240</v>
      </c>
      <c r="E17" s="288">
        <v>30</v>
      </c>
      <c r="F17" s="288"/>
      <c r="G17" s="288"/>
      <c r="H17" s="288"/>
      <c r="I17" s="288"/>
      <c r="J17" s="288"/>
      <c r="K17" s="288"/>
      <c r="L17" s="288"/>
      <c r="M17" s="288"/>
      <c r="N17" s="288"/>
      <c r="O17" s="288"/>
      <c r="P17" s="289"/>
    </row>
    <row r="18" spans="2:16" ht="13.2" x14ac:dyDescent="0.2">
      <c r="B18" s="515" t="s">
        <v>28</v>
      </c>
      <c r="C18" s="516"/>
      <c r="D18" s="517" t="s">
        <v>241</v>
      </c>
      <c r="E18" s="295">
        <v>979</v>
      </c>
      <c r="F18" s="295"/>
      <c r="G18" s="295"/>
      <c r="H18" s="295"/>
      <c r="I18" s="295"/>
      <c r="J18" s="295"/>
      <c r="K18" s="295"/>
      <c r="L18" s="295"/>
      <c r="M18" s="295"/>
      <c r="N18" s="295"/>
      <c r="O18" s="295"/>
      <c r="P18" s="296"/>
    </row>
    <row r="19" spans="2:16" ht="13.2" x14ac:dyDescent="0.2">
      <c r="B19" s="515" t="s">
        <v>242</v>
      </c>
      <c r="C19" s="516"/>
      <c r="D19" s="517" t="s">
        <v>243</v>
      </c>
      <c r="E19" s="297">
        <v>3</v>
      </c>
      <c r="F19" s="297"/>
      <c r="G19" s="297"/>
      <c r="H19" s="297"/>
      <c r="I19" s="297"/>
      <c r="J19" s="297"/>
      <c r="K19" s="297"/>
      <c r="L19" s="297"/>
      <c r="M19" s="297"/>
      <c r="N19" s="297"/>
      <c r="O19" s="297"/>
      <c r="P19" s="298"/>
    </row>
    <row r="20" spans="2:16" x14ac:dyDescent="0.2">
      <c r="B20" s="518" t="s">
        <v>29</v>
      </c>
      <c r="C20" s="519" t="s">
        <v>30</v>
      </c>
      <c r="D20" s="521" t="s">
        <v>244</v>
      </c>
      <c r="E20" s="528">
        <f>(E13-E17)/E13</f>
        <v>0.9375</v>
      </c>
      <c r="F20" s="528" t="e">
        <f>(F13-F17)/F13</f>
        <v>#DIV/0!</v>
      </c>
      <c r="G20" s="528" t="e">
        <f>(G13-G17)/G13</f>
        <v>#DIV/0!</v>
      </c>
      <c r="H20" s="528" t="e">
        <f t="shared" ref="H20:P20" si="1">(H13-H17)/H13</f>
        <v>#DIV/0!</v>
      </c>
      <c r="I20" s="528" t="e">
        <f t="shared" si="1"/>
        <v>#DIV/0!</v>
      </c>
      <c r="J20" s="528" t="e">
        <f t="shared" si="1"/>
        <v>#DIV/0!</v>
      </c>
      <c r="K20" s="528" t="e">
        <f t="shared" si="1"/>
        <v>#DIV/0!</v>
      </c>
      <c r="L20" s="528" t="e">
        <f t="shared" si="1"/>
        <v>#DIV/0!</v>
      </c>
      <c r="M20" s="528" t="e">
        <f t="shared" si="1"/>
        <v>#DIV/0!</v>
      </c>
      <c r="N20" s="528" t="e">
        <f t="shared" si="1"/>
        <v>#DIV/0!</v>
      </c>
      <c r="O20" s="528" t="e">
        <f t="shared" si="1"/>
        <v>#DIV/0!</v>
      </c>
      <c r="P20" s="529" t="e">
        <f t="shared" si="1"/>
        <v>#DIV/0!</v>
      </c>
    </row>
    <row r="21" spans="2:16" x14ac:dyDescent="0.2">
      <c r="B21" s="518" t="s">
        <v>31</v>
      </c>
      <c r="C21" s="519" t="s">
        <v>245</v>
      </c>
      <c r="D21" s="521" t="s">
        <v>246</v>
      </c>
      <c r="E21" s="528">
        <f>(E19+E18)/((E13-E17)*60/E14*E15)</f>
        <v>0.90925925925925921</v>
      </c>
      <c r="F21" s="528" t="e">
        <f>(F19+F18)/((F13-F17)*60/F14*F15)</f>
        <v>#DIV/0!</v>
      </c>
      <c r="G21" s="528" t="e">
        <f>(G19+G18)/((G13-G17)*60/G14*G15)</f>
        <v>#DIV/0!</v>
      </c>
      <c r="H21" s="528" t="e">
        <f t="shared" ref="H21:P21" si="2">(H19+H18)/((H13-H17)*60/H14*H15)</f>
        <v>#DIV/0!</v>
      </c>
      <c r="I21" s="528" t="e">
        <f t="shared" si="2"/>
        <v>#DIV/0!</v>
      </c>
      <c r="J21" s="528" t="e">
        <f t="shared" si="2"/>
        <v>#DIV/0!</v>
      </c>
      <c r="K21" s="528" t="e">
        <f t="shared" si="2"/>
        <v>#DIV/0!</v>
      </c>
      <c r="L21" s="528" t="e">
        <f t="shared" si="2"/>
        <v>#DIV/0!</v>
      </c>
      <c r="M21" s="528" t="e">
        <f t="shared" si="2"/>
        <v>#DIV/0!</v>
      </c>
      <c r="N21" s="528" t="e">
        <f t="shared" si="2"/>
        <v>#DIV/0!</v>
      </c>
      <c r="O21" s="528" t="e">
        <f t="shared" si="2"/>
        <v>#DIV/0!</v>
      </c>
      <c r="P21" s="529" t="e">
        <f t="shared" si="2"/>
        <v>#DIV/0!</v>
      </c>
    </row>
    <row r="22" spans="2:16" ht="12.6" thickBot="1" x14ac:dyDescent="0.25">
      <c r="B22" s="522" t="s">
        <v>32</v>
      </c>
      <c r="C22" s="523" t="s">
        <v>33</v>
      </c>
      <c r="D22" s="524" t="s">
        <v>152</v>
      </c>
      <c r="E22" s="530">
        <f>E18/(E18+E19)</f>
        <v>0.9969450101832994</v>
      </c>
      <c r="F22" s="530" t="e">
        <f>F18/(F18+F19)</f>
        <v>#DIV/0!</v>
      </c>
      <c r="G22" s="530" t="e">
        <f>G18/(G18+G19)</f>
        <v>#DIV/0!</v>
      </c>
      <c r="H22" s="530" t="e">
        <f t="shared" ref="H22:P22" si="3">H18/(H18+H19)</f>
        <v>#DIV/0!</v>
      </c>
      <c r="I22" s="530" t="e">
        <f t="shared" si="3"/>
        <v>#DIV/0!</v>
      </c>
      <c r="J22" s="530" t="e">
        <f t="shared" si="3"/>
        <v>#DIV/0!</v>
      </c>
      <c r="K22" s="530" t="e">
        <f t="shared" si="3"/>
        <v>#DIV/0!</v>
      </c>
      <c r="L22" s="530" t="e">
        <f t="shared" si="3"/>
        <v>#DIV/0!</v>
      </c>
      <c r="M22" s="530" t="e">
        <f t="shared" si="3"/>
        <v>#DIV/0!</v>
      </c>
      <c r="N22" s="530" t="e">
        <f t="shared" si="3"/>
        <v>#DIV/0!</v>
      </c>
      <c r="O22" s="530" t="e">
        <f t="shared" si="3"/>
        <v>#DIV/0!</v>
      </c>
      <c r="P22" s="531" t="e">
        <f t="shared" si="3"/>
        <v>#DIV/0!</v>
      </c>
    </row>
    <row r="23" spans="2:16" ht="13.2" thickBot="1" x14ac:dyDescent="0.3">
      <c r="B23" s="525" t="s">
        <v>34</v>
      </c>
      <c r="C23" s="526" t="s">
        <v>247</v>
      </c>
      <c r="D23" s="527" t="s">
        <v>11</v>
      </c>
      <c r="E23" s="532">
        <f>E20*E21*E22</f>
        <v>0.84982638888888884</v>
      </c>
      <c r="F23" s="532" t="e">
        <f>F20*F21*F22</f>
        <v>#DIV/0!</v>
      </c>
      <c r="G23" s="532" t="e">
        <f>G20*G21*G22</f>
        <v>#DIV/0!</v>
      </c>
      <c r="H23" s="532" t="e">
        <f t="shared" ref="H23:P23" si="4">H20*H21*H22</f>
        <v>#DIV/0!</v>
      </c>
      <c r="I23" s="532" t="e">
        <f t="shared" si="4"/>
        <v>#DIV/0!</v>
      </c>
      <c r="J23" s="532" t="e">
        <f t="shared" si="4"/>
        <v>#DIV/0!</v>
      </c>
      <c r="K23" s="532" t="e">
        <f t="shared" si="4"/>
        <v>#DIV/0!</v>
      </c>
      <c r="L23" s="532" t="e">
        <f t="shared" si="4"/>
        <v>#DIV/0!</v>
      </c>
      <c r="M23" s="532" t="e">
        <f t="shared" si="4"/>
        <v>#DIV/0!</v>
      </c>
      <c r="N23" s="532" t="e">
        <f t="shared" si="4"/>
        <v>#DIV/0!</v>
      </c>
      <c r="O23" s="532" t="e">
        <f t="shared" si="4"/>
        <v>#DIV/0!</v>
      </c>
      <c r="P23" s="533" t="e">
        <f t="shared" si="4"/>
        <v>#DIV/0!</v>
      </c>
    </row>
    <row r="25" spans="2:16" ht="13.2" x14ac:dyDescent="0.25">
      <c r="E25" s="299" t="s">
        <v>350</v>
      </c>
      <c r="F25" s="300" t="s">
        <v>230</v>
      </c>
      <c r="G25" s="301"/>
      <c r="H25" s="301"/>
      <c r="I25" s="301"/>
      <c r="J25" s="301"/>
      <c r="K25" s="301"/>
      <c r="L25" s="301"/>
      <c r="M25" s="301"/>
      <c r="N25" s="301"/>
      <c r="O25" s="301"/>
      <c r="P25" s="301"/>
    </row>
    <row r="26" spans="2:16" x14ac:dyDescent="0.2">
      <c r="B26" s="302" t="s">
        <v>248</v>
      </c>
      <c r="I26" s="283"/>
      <c r="J26" s="283"/>
      <c r="K26" s="283"/>
      <c r="L26" s="283"/>
      <c r="M26" s="283"/>
      <c r="N26" s="283"/>
      <c r="O26" s="283"/>
      <c r="P26" s="283"/>
    </row>
    <row r="27" spans="2:16" x14ac:dyDescent="0.2">
      <c r="E27" s="303"/>
      <c r="F27" s="304"/>
      <c r="G27" s="304"/>
      <c r="H27" s="304"/>
      <c r="I27" s="304"/>
      <c r="J27" s="304"/>
      <c r="K27" s="304"/>
      <c r="L27" s="304"/>
      <c r="M27" s="304"/>
      <c r="N27" s="304"/>
      <c r="O27" s="304"/>
      <c r="P27" s="304"/>
    </row>
    <row r="29" spans="2:16" x14ac:dyDescent="0.2">
      <c r="E29" s="305"/>
    </row>
    <row r="30" spans="2:16" x14ac:dyDescent="0.2">
      <c r="E30" s="306"/>
      <c r="F30" s="305"/>
    </row>
    <row r="31" spans="2:16" x14ac:dyDescent="0.2">
      <c r="E31" s="258"/>
      <c r="F31" s="258"/>
    </row>
  </sheetData>
  <sheetProtection algorithmName="SHA-512" hashValue="6NSO2HVaG0VJtZoQ0yaNdE6EvuKuJOLS4yXdxkgOsUnCmY9HsGgCiNUFS/pSwb6WQMpJNsYd819ow3Pixj+v+Q==" saltValue="6cqbdV+WYYZ/6mwPzP/FXg==" spinCount="100000" sheet="1" objects="1" scenarios="1"/>
  <mergeCells count="9">
    <mergeCell ref="E8:I8"/>
    <mergeCell ref="L8:P8"/>
    <mergeCell ref="E9:I9"/>
    <mergeCell ref="E5:I5"/>
    <mergeCell ref="L5:P5"/>
    <mergeCell ref="E6:I6"/>
    <mergeCell ref="L6:P6"/>
    <mergeCell ref="E7:I7"/>
    <mergeCell ref="L7:P7"/>
  </mergeCells>
  <pageMargins left="0.25" right="0.25" top="0.75" bottom="0.75" header="0.3" footer="0.3"/>
  <pageSetup paperSize="9" scale="75" orientation="landscape" r:id="rId1"/>
  <headerFooter>
    <oddHeader>&amp;L&amp;"Arial"&amp;8&amp;K000000 INTERNAL&amp;1#_x000D_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2">
    <pageSetUpPr fitToPage="1"/>
  </sheetPr>
  <dimension ref="B3:O43"/>
  <sheetViews>
    <sheetView zoomScale="80" zoomScaleNormal="80" workbookViewId="0">
      <selection activeCell="F57" sqref="F57"/>
    </sheetView>
  </sheetViews>
  <sheetFormatPr baseColWidth="10" defaultColWidth="11.44140625" defaultRowHeight="12" x14ac:dyDescent="0.2"/>
  <cols>
    <col min="1" max="1" width="3" style="258" customWidth="1"/>
    <col min="2" max="9" width="11.44140625" style="258"/>
    <col min="10" max="10" width="12.21875" style="258" customWidth="1"/>
    <col min="11" max="11" width="11.44140625" style="258" customWidth="1"/>
    <col min="12" max="15" width="11.44140625" style="258"/>
    <col min="16" max="16" width="4.44140625" style="258" customWidth="1"/>
    <col min="17" max="17" width="11.77734375" style="258" bestFit="1" customWidth="1"/>
    <col min="18" max="16384" width="11.44140625" style="258"/>
  </cols>
  <sheetData>
    <row r="3" spans="2:15" ht="17.399999999999999" x14ac:dyDescent="0.3">
      <c r="B3" s="307" t="s">
        <v>249</v>
      </c>
    </row>
    <row r="4" spans="2:15" ht="12.6" thickBot="1" x14ac:dyDescent="0.25"/>
    <row r="5" spans="2:15" ht="13.2" thickBot="1" x14ac:dyDescent="0.3">
      <c r="B5" s="597" t="s">
        <v>250</v>
      </c>
      <c r="C5" s="598"/>
      <c r="D5" s="599"/>
      <c r="F5" s="308">
        <f>F7*1.15</f>
        <v>2035.4999999999998</v>
      </c>
      <c r="G5" s="309" t="s">
        <v>251</v>
      </c>
      <c r="H5" s="309"/>
      <c r="J5" s="261" t="s">
        <v>220</v>
      </c>
      <c r="K5" s="591">
        <f>CapacitySFN!J5</f>
        <v>0</v>
      </c>
      <c r="L5" s="592"/>
      <c r="M5" s="592"/>
      <c r="N5" s="592"/>
      <c r="O5" s="593"/>
    </row>
    <row r="6" spans="2:15" ht="13.2" thickBot="1" x14ac:dyDescent="0.3">
      <c r="F6" s="262"/>
      <c r="J6" s="261" t="s">
        <v>3</v>
      </c>
      <c r="K6" s="594">
        <f>CapacitySFN!J6</f>
        <v>0</v>
      </c>
      <c r="L6" s="595"/>
      <c r="M6" s="595"/>
      <c r="N6" s="595"/>
      <c r="O6" s="596"/>
    </row>
    <row r="7" spans="2:15" ht="13.5" customHeight="1" thickBot="1" x14ac:dyDescent="0.3">
      <c r="B7" s="600" t="s">
        <v>252</v>
      </c>
      <c r="C7" s="601"/>
      <c r="D7" s="602"/>
      <c r="E7" s="262"/>
      <c r="F7" s="310">
        <v>1770</v>
      </c>
      <c r="G7" s="258" t="s">
        <v>251</v>
      </c>
      <c r="J7" s="260" t="s">
        <v>5</v>
      </c>
      <c r="K7" s="591">
        <f>CapacitySFN!J7</f>
        <v>0</v>
      </c>
      <c r="L7" s="592"/>
      <c r="M7" s="592"/>
      <c r="N7" s="592"/>
      <c r="O7" s="593"/>
    </row>
    <row r="8" spans="2:15" ht="12.6" x14ac:dyDescent="0.25">
      <c r="J8" s="260" t="s">
        <v>221</v>
      </c>
      <c r="K8" s="591">
        <f>CapacitySFN!J8</f>
        <v>0</v>
      </c>
      <c r="L8" s="592"/>
      <c r="M8" s="592"/>
      <c r="N8" s="592"/>
      <c r="O8" s="593"/>
    </row>
    <row r="41" spans="2:8" ht="14.25" customHeight="1" x14ac:dyDescent="0.2"/>
    <row r="42" spans="2:8" x14ac:dyDescent="0.2">
      <c r="B42" s="283"/>
    </row>
    <row r="43" spans="2:8" ht="13.2" x14ac:dyDescent="0.25">
      <c r="G43" s="311"/>
      <c r="H43" s="300" t="s">
        <v>230</v>
      </c>
    </row>
  </sheetData>
  <sheetProtection algorithmName="SHA-512" hashValue="847MGrt4/VLhwT/qFpNx6vehC5esi8+g8IpnNgv6WsRV8njaCSR4zhZW/Nlopu7MI8LpZOayYVR0q4dSoOGq2w==" saltValue="u7DEFWt0EyGrtI5E2h779g==" spinCount="100000" sheet="1" objects="1" scenarios="1"/>
  <mergeCells count="6">
    <mergeCell ref="K8:O8"/>
    <mergeCell ref="B5:D5"/>
    <mergeCell ref="K5:O5"/>
    <mergeCell ref="K6:O6"/>
    <mergeCell ref="B7:D7"/>
    <mergeCell ref="K7:O7"/>
  </mergeCells>
  <pageMargins left="0.25" right="0.56000000000000005" top="0.75" bottom="0.75" header="0.3" footer="0.3"/>
  <pageSetup paperSize="9" scale="87" orientation="landscape" r:id="rId1"/>
  <headerFooter alignWithMargins="0">
    <oddHeader>&amp;L&amp;"Arial"&amp;8&amp;K000000 INTERNAL&amp;1#_x000D_</oddHead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0:G18"/>
  <sheetViews>
    <sheetView zoomScale="80" zoomScaleNormal="80" workbookViewId="0">
      <selection activeCell="F14" sqref="F14"/>
    </sheetView>
  </sheetViews>
  <sheetFormatPr baseColWidth="10" defaultRowHeight="12" x14ac:dyDescent="0.2"/>
  <sheetData>
    <row r="10" spans="2:7" ht="12.6" thickBot="1" x14ac:dyDescent="0.25"/>
    <row r="11" spans="2:7" ht="14.4" thickBot="1" x14ac:dyDescent="0.3">
      <c r="B11" s="553" t="s">
        <v>7</v>
      </c>
      <c r="C11" s="554"/>
      <c r="D11" s="554"/>
      <c r="E11" s="555"/>
      <c r="F11" s="556" t="s">
        <v>372</v>
      </c>
      <c r="G11" s="557">
        <v>15</v>
      </c>
    </row>
    <row r="12" spans="2:7" ht="14.4" thickBot="1" x14ac:dyDescent="0.3">
      <c r="B12" s="558" t="s">
        <v>373</v>
      </c>
      <c r="C12" s="559"/>
      <c r="D12" s="559"/>
      <c r="E12" s="560"/>
      <c r="F12" s="561" t="s">
        <v>374</v>
      </c>
      <c r="G12" s="562">
        <v>2629.5750000000003</v>
      </c>
    </row>
    <row r="13" spans="2:7" ht="13.8" x14ac:dyDescent="0.25">
      <c r="B13" s="603" t="s">
        <v>375</v>
      </c>
      <c r="C13" s="604"/>
      <c r="D13" s="604"/>
      <c r="E13" s="560"/>
      <c r="F13" s="563" t="s">
        <v>376</v>
      </c>
      <c r="G13" s="564">
        <v>60</v>
      </c>
    </row>
    <row r="14" spans="2:7" ht="13.8" x14ac:dyDescent="0.25">
      <c r="B14" s="605"/>
      <c r="C14" s="606"/>
      <c r="D14" s="606"/>
      <c r="E14" s="560"/>
      <c r="F14" s="563" t="s">
        <v>377</v>
      </c>
      <c r="G14" s="565">
        <v>7.75</v>
      </c>
    </row>
    <row r="15" spans="2:7" ht="13.8" x14ac:dyDescent="0.25">
      <c r="B15" s="605"/>
      <c r="C15" s="606"/>
      <c r="D15" s="606"/>
      <c r="E15" s="560"/>
      <c r="F15" s="563" t="s">
        <v>11</v>
      </c>
      <c r="G15" s="566">
        <v>0.8</v>
      </c>
    </row>
    <row r="16" spans="2:7" ht="14.4" thickBot="1" x14ac:dyDescent="0.3">
      <c r="B16" s="605"/>
      <c r="C16" s="606"/>
      <c r="D16" s="606"/>
      <c r="E16" s="567"/>
      <c r="F16" s="568" t="s">
        <v>378</v>
      </c>
      <c r="G16" s="569">
        <v>1</v>
      </c>
    </row>
    <row r="17" spans="2:7" ht="13.8" x14ac:dyDescent="0.25">
      <c r="B17" s="605"/>
      <c r="C17" s="606"/>
      <c r="D17" s="606"/>
      <c r="E17" s="609" t="s">
        <v>379</v>
      </c>
      <c r="F17" s="610"/>
      <c r="G17" s="570">
        <v>0.19500000000000001</v>
      </c>
    </row>
    <row r="18" spans="2:7" ht="13.8" thickBot="1" x14ac:dyDescent="0.3">
      <c r="B18" s="607"/>
      <c r="C18" s="608"/>
      <c r="D18" s="608"/>
      <c r="E18" s="571"/>
      <c r="F18" s="572" t="s">
        <v>380</v>
      </c>
      <c r="G18" s="573">
        <v>1</v>
      </c>
    </row>
  </sheetData>
  <mergeCells count="2">
    <mergeCell ref="B13:D18"/>
    <mergeCell ref="E17:F17"/>
  </mergeCells>
  <pageMargins left="0.7" right="0.7" top="0.75" bottom="0.75" header="0.3" footer="0.3"/>
  <pageSetup paperSize="9" orientation="portrait" verticalDpi="0" r:id="rId1"/>
  <headerFooter>
    <oddHeader>&amp;L&amp;"Arial"&amp;8&amp;K000000 INTERNAL&amp;1#_x000D_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499984740745262"/>
    <pageSetUpPr fitToPage="1"/>
  </sheetPr>
  <dimension ref="A1:J375"/>
  <sheetViews>
    <sheetView view="pageBreakPreview" topLeftCell="A59" zoomScale="90" zoomScaleNormal="90" zoomScaleSheetLayoutView="90" zoomScalePageLayoutView="110" workbookViewId="0">
      <selection activeCell="C23" sqref="C23:H23"/>
    </sheetView>
  </sheetViews>
  <sheetFormatPr baseColWidth="10" defaultColWidth="0" defaultRowHeight="12.6" customHeight="1" zeroHeight="1" x14ac:dyDescent="0.25"/>
  <cols>
    <col min="1" max="1" width="2.21875" style="312" customWidth="1"/>
    <col min="2" max="2" width="3.44140625" style="312" customWidth="1"/>
    <col min="3" max="3" width="23.44140625" style="316" customWidth="1"/>
    <col min="4" max="4" width="19.21875" style="316" customWidth="1"/>
    <col min="5" max="5" width="21.5546875" style="316" customWidth="1"/>
    <col min="6" max="6" width="21.21875" style="316" customWidth="1"/>
    <col min="7" max="7" width="22.44140625" style="316" customWidth="1"/>
    <col min="8" max="8" width="18.77734375" style="316" customWidth="1"/>
    <col min="9" max="9" width="4.21875" style="312" customWidth="1"/>
    <col min="10" max="10" width="3.44140625" style="313" customWidth="1"/>
    <col min="11" max="16384" width="12" style="317" hidden="1"/>
  </cols>
  <sheetData>
    <row r="1" spans="1:10" s="313" customFormat="1" ht="13.8" thickBot="1" x14ac:dyDescent="0.3">
      <c r="A1" s="312"/>
      <c r="B1" s="312"/>
      <c r="C1" s="312"/>
      <c r="D1" s="312"/>
      <c r="E1" s="312"/>
      <c r="F1" s="312"/>
      <c r="G1" s="312"/>
      <c r="H1" s="312"/>
      <c r="I1" s="312"/>
    </row>
    <row r="2" spans="1:10" s="313" customFormat="1" ht="44.25" customHeight="1" x14ac:dyDescent="0.25">
      <c r="A2" s="312"/>
      <c r="B2" s="614" t="s">
        <v>253</v>
      </c>
      <c r="C2" s="615"/>
      <c r="D2" s="615"/>
      <c r="E2" s="615"/>
      <c r="F2" s="615"/>
      <c r="G2" s="615"/>
      <c r="H2" s="615"/>
      <c r="I2" s="616"/>
    </row>
    <row r="3" spans="1:10" s="313" customFormat="1" ht="9" customHeight="1" x14ac:dyDescent="0.25">
      <c r="A3" s="312"/>
      <c r="B3" s="314"/>
      <c r="C3" s="617"/>
      <c r="D3" s="617"/>
      <c r="E3" s="617"/>
      <c r="F3" s="617"/>
      <c r="G3" s="617"/>
      <c r="H3" s="617"/>
      <c r="I3" s="315"/>
    </row>
    <row r="4" spans="1:10" ht="33.75" customHeight="1" x14ac:dyDescent="0.25">
      <c r="A4" s="316"/>
      <c r="B4" s="314"/>
      <c r="C4" s="620" t="s">
        <v>357</v>
      </c>
      <c r="D4" s="621"/>
      <c r="E4" s="621"/>
      <c r="F4" s="621"/>
      <c r="G4" s="621"/>
      <c r="H4" s="622"/>
      <c r="I4" s="315"/>
      <c r="J4" s="317"/>
    </row>
    <row r="5" spans="1:10" s="313" customFormat="1" ht="10.5" customHeight="1" x14ac:dyDescent="0.25">
      <c r="A5" s="312"/>
      <c r="B5" s="314"/>
      <c r="C5" s="318"/>
      <c r="D5" s="319"/>
      <c r="E5" s="319"/>
      <c r="F5" s="319"/>
      <c r="G5" s="319"/>
      <c r="H5" s="320"/>
      <c r="I5" s="321"/>
    </row>
    <row r="6" spans="1:10" ht="19.5" customHeight="1" x14ac:dyDescent="0.25">
      <c r="A6" s="316"/>
      <c r="B6" s="314"/>
      <c r="C6" s="322" t="s">
        <v>254</v>
      </c>
      <c r="D6" s="543">
        <f>CapacitySFN!J6</f>
        <v>0</v>
      </c>
      <c r="E6" s="322" t="s">
        <v>255</v>
      </c>
      <c r="F6" s="544">
        <f>CapacitySFN!C5</f>
        <v>0</v>
      </c>
      <c r="G6" s="322" t="s">
        <v>256</v>
      </c>
      <c r="H6" s="544">
        <f>CapacitySFN!C7</f>
        <v>0</v>
      </c>
      <c r="I6" s="323"/>
      <c r="J6" s="317"/>
    </row>
    <row r="7" spans="1:10" ht="19.5" customHeight="1" x14ac:dyDescent="0.25">
      <c r="A7" s="316"/>
      <c r="B7" s="314"/>
      <c r="C7" s="322" t="s">
        <v>257</v>
      </c>
      <c r="D7" s="618">
        <f>CapacitySFN!C6</f>
        <v>0</v>
      </c>
      <c r="E7" s="619"/>
      <c r="F7" s="545"/>
      <c r="G7" s="545"/>
      <c r="H7" s="546"/>
      <c r="I7" s="324"/>
      <c r="J7" s="317"/>
    </row>
    <row r="8" spans="1:10" ht="31.5" customHeight="1" x14ac:dyDescent="0.25">
      <c r="A8" s="316"/>
      <c r="B8" s="314"/>
      <c r="C8" s="322" t="s">
        <v>258</v>
      </c>
      <c r="D8" s="547">
        <f>CapacitySFN!C8</f>
        <v>0</v>
      </c>
      <c r="E8" s="322" t="s">
        <v>259</v>
      </c>
      <c r="F8" s="547">
        <f>CapacitySFN!C9</f>
        <v>0</v>
      </c>
      <c r="G8" s="322" t="s">
        <v>42</v>
      </c>
      <c r="H8" s="325" t="s">
        <v>355</v>
      </c>
      <c r="I8" s="324"/>
      <c r="J8" s="317"/>
    </row>
    <row r="9" spans="1:10" s="313" customFormat="1" ht="9.75" customHeight="1" thickBot="1" x14ac:dyDescent="0.3">
      <c r="A9" s="312"/>
      <c r="B9" s="314"/>
      <c r="C9" s="617"/>
      <c r="D9" s="617"/>
      <c r="E9" s="617"/>
      <c r="F9" s="617"/>
      <c r="G9" s="617"/>
      <c r="H9" s="617"/>
      <c r="I9" s="315"/>
    </row>
    <row r="10" spans="1:10" ht="21.75" customHeight="1" thickTop="1" x14ac:dyDescent="0.25">
      <c r="A10" s="316"/>
      <c r="B10" s="314"/>
      <c r="C10" s="623" t="s">
        <v>260</v>
      </c>
      <c r="D10" s="624"/>
      <c r="E10" s="624"/>
      <c r="F10" s="624"/>
      <c r="G10" s="624"/>
      <c r="H10" s="625"/>
      <c r="I10" s="326"/>
      <c r="J10" s="317"/>
    </row>
    <row r="11" spans="1:10" s="313" customFormat="1" ht="9" customHeight="1" x14ac:dyDescent="0.25">
      <c r="A11" s="312"/>
      <c r="B11" s="314"/>
      <c r="C11" s="626"/>
      <c r="D11" s="627"/>
      <c r="E11" s="627"/>
      <c r="F11" s="627"/>
      <c r="G11" s="627"/>
      <c r="H11" s="628"/>
      <c r="I11" s="327"/>
    </row>
    <row r="12" spans="1:10" ht="48" customHeight="1" x14ac:dyDescent="0.25">
      <c r="A12" s="316"/>
      <c r="B12" s="314"/>
      <c r="C12" s="328" t="s">
        <v>261</v>
      </c>
      <c r="D12" s="629" t="s">
        <v>359</v>
      </c>
      <c r="E12" s="629"/>
      <c r="F12" s="629"/>
      <c r="G12" s="629"/>
      <c r="H12" s="630"/>
      <c r="I12" s="329"/>
      <c r="J12" s="317"/>
    </row>
    <row r="13" spans="1:10" ht="47.25" customHeight="1" x14ac:dyDescent="0.25">
      <c r="A13" s="316"/>
      <c r="B13" s="314"/>
      <c r="C13" s="328" t="s">
        <v>262</v>
      </c>
      <c r="D13" s="629" t="s">
        <v>360</v>
      </c>
      <c r="E13" s="629"/>
      <c r="F13" s="629"/>
      <c r="G13" s="629"/>
      <c r="H13" s="630"/>
      <c r="I13" s="330"/>
      <c r="J13" s="317"/>
    </row>
    <row r="14" spans="1:10" ht="33.75" customHeight="1" x14ac:dyDescent="0.25">
      <c r="A14" s="316"/>
      <c r="B14" s="314"/>
      <c r="C14" s="328" t="s">
        <v>263</v>
      </c>
      <c r="D14" s="631" t="s">
        <v>264</v>
      </c>
      <c r="E14" s="632"/>
      <c r="F14" s="632"/>
      <c r="G14" s="632"/>
      <c r="H14" s="633"/>
      <c r="I14" s="329"/>
      <c r="J14" s="317"/>
    </row>
    <row r="15" spans="1:10" ht="15" customHeight="1" x14ac:dyDescent="0.25">
      <c r="A15" s="316"/>
      <c r="B15" s="314"/>
      <c r="C15" s="611" t="s">
        <v>351</v>
      </c>
      <c r="D15" s="612"/>
      <c r="E15" s="612"/>
      <c r="F15" s="612"/>
      <c r="G15" s="612"/>
      <c r="H15" s="613"/>
      <c r="I15" s="315"/>
      <c r="J15" s="317"/>
    </row>
    <row r="16" spans="1:10" ht="23.25" customHeight="1" x14ac:dyDescent="0.25">
      <c r="A16" s="316"/>
      <c r="B16" s="314"/>
      <c r="C16" s="637"/>
      <c r="D16" s="639" t="s">
        <v>265</v>
      </c>
      <c r="E16" s="640"/>
      <c r="F16" s="641"/>
      <c r="G16" s="549" t="s">
        <v>266</v>
      </c>
      <c r="H16" s="331"/>
      <c r="I16" s="332"/>
      <c r="J16" s="317"/>
    </row>
    <row r="17" spans="1:10" ht="26.25" customHeight="1" x14ac:dyDescent="0.25">
      <c r="A17" s="316"/>
      <c r="B17" s="314"/>
      <c r="C17" s="638"/>
      <c r="D17" s="333" t="s">
        <v>267</v>
      </c>
      <c r="E17" s="642" t="s">
        <v>268</v>
      </c>
      <c r="F17" s="643"/>
      <c r="G17" s="642" t="s">
        <v>269</v>
      </c>
      <c r="H17" s="653"/>
      <c r="I17" s="332"/>
      <c r="J17" s="317"/>
    </row>
    <row r="18" spans="1:10" ht="33.75" customHeight="1" x14ac:dyDescent="0.25">
      <c r="A18" s="316"/>
      <c r="B18" s="314"/>
      <c r="C18" s="28" t="s">
        <v>58</v>
      </c>
      <c r="D18" s="654" t="s">
        <v>270</v>
      </c>
      <c r="E18" s="655"/>
      <c r="F18" s="655"/>
      <c r="G18" s="655"/>
      <c r="H18" s="656"/>
      <c r="I18" s="315"/>
      <c r="J18" s="317"/>
    </row>
    <row r="19" spans="1:10" ht="16.5" customHeight="1" x14ac:dyDescent="0.25">
      <c r="A19" s="316"/>
      <c r="B19" s="314"/>
      <c r="C19" s="657" t="s">
        <v>271</v>
      </c>
      <c r="D19" s="658"/>
      <c r="E19" s="658"/>
      <c r="F19" s="658"/>
      <c r="G19" s="658"/>
      <c r="H19" s="659"/>
      <c r="I19" s="315"/>
      <c r="J19" s="317"/>
    </row>
    <row r="20" spans="1:10" ht="45" customHeight="1" thickBot="1" x14ac:dyDescent="0.3">
      <c r="A20" s="316"/>
      <c r="B20" s="314"/>
      <c r="C20" s="29" t="s">
        <v>272</v>
      </c>
      <c r="D20" s="334" t="e">
        <f>D72</f>
        <v>#DIV/0!</v>
      </c>
      <c r="E20" s="335" t="s">
        <v>273</v>
      </c>
      <c r="F20" s="336" t="e">
        <f>F72</f>
        <v>#DIV/0!</v>
      </c>
      <c r="G20" s="337" t="s">
        <v>274</v>
      </c>
      <c r="H20" s="338" t="e">
        <f>#REF!</f>
        <v>#REF!</v>
      </c>
      <c r="I20" s="315"/>
      <c r="J20" s="317"/>
    </row>
    <row r="21" spans="1:10" ht="10.5" customHeight="1" thickTop="1" thickBot="1" x14ac:dyDescent="0.3">
      <c r="A21" s="316"/>
      <c r="B21" s="314"/>
      <c r="D21" s="339"/>
      <c r="E21" s="339"/>
      <c r="F21" s="340"/>
      <c r="G21" s="339"/>
      <c r="H21" s="339"/>
      <c r="I21" s="315"/>
      <c r="J21" s="317"/>
    </row>
    <row r="22" spans="1:10" ht="22.5" customHeight="1" thickTop="1" x14ac:dyDescent="0.25">
      <c r="A22" s="316"/>
      <c r="B22" s="314"/>
      <c r="C22" s="623" t="s">
        <v>275</v>
      </c>
      <c r="D22" s="624"/>
      <c r="E22" s="624"/>
      <c r="F22" s="624"/>
      <c r="G22" s="624"/>
      <c r="H22" s="625"/>
      <c r="I22" s="315"/>
      <c r="J22" s="317"/>
    </row>
    <row r="23" spans="1:10" ht="106.5" customHeight="1" thickBot="1" x14ac:dyDescent="0.3">
      <c r="A23" s="316"/>
      <c r="B23" s="314"/>
      <c r="C23" s="644"/>
      <c r="D23" s="645"/>
      <c r="E23" s="645"/>
      <c r="F23" s="645"/>
      <c r="G23" s="645"/>
      <c r="H23" s="646"/>
      <c r="I23" s="315"/>
      <c r="J23" s="317"/>
    </row>
    <row r="24" spans="1:10" ht="10.5" customHeight="1" thickTop="1" thickBot="1" x14ac:dyDescent="0.3">
      <c r="A24" s="316"/>
      <c r="B24" s="314"/>
      <c r="C24" s="617"/>
      <c r="D24" s="617"/>
      <c r="E24" s="617"/>
      <c r="F24" s="617"/>
      <c r="G24" s="617"/>
      <c r="H24" s="617"/>
      <c r="I24" s="315"/>
      <c r="J24" s="317"/>
    </row>
    <row r="25" spans="1:10" ht="22.5" customHeight="1" x14ac:dyDescent="0.25">
      <c r="A25" s="316"/>
      <c r="B25" s="314"/>
      <c r="C25" s="647" t="s">
        <v>276</v>
      </c>
      <c r="D25" s="648"/>
      <c r="E25" s="648"/>
      <c r="F25" s="648"/>
      <c r="G25" s="648"/>
      <c r="H25" s="649"/>
      <c r="I25" s="341"/>
      <c r="J25" s="317"/>
    </row>
    <row r="26" spans="1:10" s="313" customFormat="1" ht="6" customHeight="1" x14ac:dyDescent="0.25">
      <c r="A26" s="312"/>
      <c r="B26" s="314"/>
      <c r="C26" s="650"/>
      <c r="D26" s="651"/>
      <c r="E26" s="651"/>
      <c r="F26" s="651"/>
      <c r="G26" s="651"/>
      <c r="H26" s="652"/>
      <c r="I26" s="327"/>
    </row>
    <row r="27" spans="1:10" s="345" customFormat="1" ht="15" customHeight="1" x14ac:dyDescent="0.2">
      <c r="A27" s="342"/>
      <c r="B27" s="343"/>
      <c r="C27" s="634" t="s">
        <v>277</v>
      </c>
      <c r="D27" s="635"/>
      <c r="E27" s="636" t="s">
        <v>278</v>
      </c>
      <c r="F27" s="635"/>
      <c r="G27" s="549" t="s">
        <v>279</v>
      </c>
      <c r="H27" s="550" t="s">
        <v>280</v>
      </c>
      <c r="I27" s="344"/>
    </row>
    <row r="28" spans="1:10" ht="33.75" customHeight="1" x14ac:dyDescent="0.25">
      <c r="A28" s="316"/>
      <c r="B28" s="314"/>
      <c r="C28" s="660"/>
      <c r="D28" s="661"/>
      <c r="E28" s="662"/>
      <c r="F28" s="661"/>
      <c r="G28" s="346"/>
      <c r="H28" s="347"/>
      <c r="I28" s="348"/>
      <c r="J28" s="317"/>
    </row>
    <row r="29" spans="1:10" ht="33.75" customHeight="1" x14ac:dyDescent="0.25">
      <c r="A29" s="316"/>
      <c r="B29" s="314"/>
      <c r="C29" s="663"/>
      <c r="D29" s="661"/>
      <c r="E29" s="662"/>
      <c r="F29" s="661"/>
      <c r="G29" s="346"/>
      <c r="H29" s="347"/>
      <c r="I29" s="348"/>
      <c r="J29" s="317"/>
    </row>
    <row r="30" spans="1:10" ht="30" customHeight="1" x14ac:dyDescent="0.25">
      <c r="A30" s="316"/>
      <c r="B30" s="314"/>
      <c r="C30" s="663"/>
      <c r="D30" s="664"/>
      <c r="E30" s="662"/>
      <c r="F30" s="664"/>
      <c r="G30" s="551"/>
      <c r="H30" s="349"/>
      <c r="I30" s="348"/>
      <c r="J30" s="317"/>
    </row>
    <row r="31" spans="1:10" ht="32.25" customHeight="1" x14ac:dyDescent="0.25">
      <c r="A31" s="316"/>
      <c r="B31" s="314"/>
      <c r="C31" s="665"/>
      <c r="D31" s="666"/>
      <c r="E31" s="666"/>
      <c r="F31" s="666"/>
      <c r="G31" s="551"/>
      <c r="H31" s="349"/>
      <c r="I31" s="348"/>
      <c r="J31" s="317"/>
    </row>
    <row r="32" spans="1:10" ht="30" customHeight="1" thickBot="1" x14ac:dyDescent="0.3">
      <c r="A32" s="316"/>
      <c r="B32" s="314"/>
      <c r="C32" s="667"/>
      <c r="D32" s="668"/>
      <c r="E32" s="668"/>
      <c r="F32" s="668"/>
      <c r="G32" s="552"/>
      <c r="H32" s="350"/>
      <c r="I32" s="348"/>
      <c r="J32" s="351"/>
    </row>
    <row r="33" spans="1:10" ht="10.5" customHeight="1" thickBot="1" x14ac:dyDescent="0.3">
      <c r="A33" s="316"/>
      <c r="B33" s="314"/>
      <c r="C33" s="617"/>
      <c r="D33" s="617"/>
      <c r="E33" s="617"/>
      <c r="F33" s="617"/>
      <c r="G33" s="617"/>
      <c r="H33" s="617"/>
      <c r="I33" s="315"/>
      <c r="J33" s="351"/>
    </row>
    <row r="34" spans="1:10" ht="22.5" customHeight="1" x14ac:dyDescent="0.25">
      <c r="A34" s="316"/>
      <c r="B34" s="314"/>
      <c r="C34" s="647" t="s">
        <v>281</v>
      </c>
      <c r="D34" s="648"/>
      <c r="E34" s="648"/>
      <c r="F34" s="648"/>
      <c r="G34" s="648"/>
      <c r="H34" s="649"/>
      <c r="I34" s="341"/>
      <c r="J34" s="351"/>
    </row>
    <row r="35" spans="1:10" ht="6.75" customHeight="1" x14ac:dyDescent="0.25">
      <c r="B35" s="314"/>
      <c r="C35" s="669"/>
      <c r="D35" s="670"/>
      <c r="E35" s="670"/>
      <c r="F35" s="670"/>
      <c r="G35" s="670"/>
      <c r="H35" s="671"/>
      <c r="I35" s="315"/>
      <c r="J35" s="352"/>
    </row>
    <row r="36" spans="1:10" ht="33.75" customHeight="1" thickBot="1" x14ac:dyDescent="0.3">
      <c r="B36" s="314"/>
      <c r="C36" s="353" t="s">
        <v>282</v>
      </c>
      <c r="D36" s="354">
        <f>D37*48</f>
        <v>55968</v>
      </c>
      <c r="E36" s="355" t="s">
        <v>283</v>
      </c>
      <c r="F36" s="356">
        <f>D36*1.15</f>
        <v>64363.199999999997</v>
      </c>
      <c r="G36" s="357" t="s">
        <v>284</v>
      </c>
      <c r="H36" s="358" t="s">
        <v>367</v>
      </c>
      <c r="I36" s="359"/>
      <c r="J36" s="352"/>
    </row>
    <row r="37" spans="1:10" ht="33.75" customHeight="1" thickBot="1" x14ac:dyDescent="0.3">
      <c r="B37" s="314"/>
      <c r="C37" s="360" t="s">
        <v>285</v>
      </c>
      <c r="D37" s="361">
        <v>1166</v>
      </c>
      <c r="E37" s="362" t="s">
        <v>286</v>
      </c>
      <c r="F37" s="356">
        <f>F36/48</f>
        <v>1340.8999999999999</v>
      </c>
      <c r="G37" s="672" t="s">
        <v>287</v>
      </c>
      <c r="H37" s="674" t="s">
        <v>367</v>
      </c>
      <c r="I37" s="359"/>
      <c r="J37" s="352"/>
    </row>
    <row r="38" spans="1:10" ht="46.5" customHeight="1" thickBot="1" x14ac:dyDescent="0.3">
      <c r="B38" s="314"/>
      <c r="C38" s="363" t="s">
        <v>288</v>
      </c>
      <c r="D38" s="364">
        <v>280</v>
      </c>
      <c r="E38" s="365" t="s">
        <v>289</v>
      </c>
      <c r="F38" s="366" t="s">
        <v>368</v>
      </c>
      <c r="G38" s="673"/>
      <c r="H38" s="675"/>
      <c r="I38" s="315"/>
      <c r="J38" s="352"/>
    </row>
    <row r="39" spans="1:10" ht="3.75" customHeight="1" x14ac:dyDescent="0.25">
      <c r="B39" s="314"/>
      <c r="C39" s="617"/>
      <c r="D39" s="617"/>
      <c r="E39" s="617"/>
      <c r="F39" s="617"/>
      <c r="G39" s="617"/>
      <c r="H39" s="617"/>
      <c r="I39" s="315"/>
      <c r="J39" s="352"/>
    </row>
    <row r="40" spans="1:10" ht="0.75" customHeight="1" x14ac:dyDescent="0.25">
      <c r="B40" s="314"/>
      <c r="C40" s="367"/>
      <c r="D40" s="368"/>
      <c r="E40" s="368"/>
      <c r="F40" s="368"/>
      <c r="G40" s="368"/>
      <c r="H40" s="368"/>
      <c r="I40" s="315"/>
      <c r="J40" s="352"/>
    </row>
    <row r="41" spans="1:10" ht="20.25" customHeight="1" x14ac:dyDescent="0.25">
      <c r="B41" s="314"/>
      <c r="C41" s="367"/>
      <c r="D41" s="368"/>
      <c r="E41" s="368"/>
      <c r="F41" s="368"/>
      <c r="G41" s="368"/>
      <c r="H41" s="368"/>
      <c r="I41" s="315"/>
      <c r="J41" s="352"/>
    </row>
    <row r="42" spans="1:10" ht="2.25" customHeight="1" thickBot="1" x14ac:dyDescent="0.3">
      <c r="B42" s="369"/>
      <c r="C42" s="370"/>
      <c r="D42" s="371"/>
      <c r="E42" s="371"/>
      <c r="F42" s="371"/>
      <c r="G42" s="371"/>
      <c r="H42" s="371"/>
      <c r="I42" s="372"/>
      <c r="J42" s="352"/>
    </row>
    <row r="43" spans="1:10" ht="0.75" hidden="1" customHeight="1" x14ac:dyDescent="0.25">
      <c r="C43" s="367"/>
      <c r="D43" s="368"/>
      <c r="E43" s="368"/>
      <c r="F43" s="368"/>
      <c r="G43" s="368"/>
      <c r="H43" s="368"/>
      <c r="J43" s="352"/>
    </row>
    <row r="44" spans="1:10" ht="11.25" customHeight="1" x14ac:dyDescent="0.25">
      <c r="B44" s="314"/>
      <c r="C44" s="367"/>
      <c r="D44" s="368"/>
      <c r="E44" s="368"/>
      <c r="F44" s="368"/>
      <c r="G44" s="368"/>
      <c r="H44" s="368"/>
      <c r="I44" s="315"/>
    </row>
    <row r="45" spans="1:10" ht="6" customHeight="1" thickBot="1" x14ac:dyDescent="0.3">
      <c r="B45" s="314"/>
      <c r="C45" s="367"/>
      <c r="D45" s="367"/>
      <c r="E45" s="367"/>
      <c r="F45" s="367"/>
      <c r="G45" s="367"/>
      <c r="H45" s="367"/>
      <c r="I45" s="315"/>
    </row>
    <row r="46" spans="1:10" ht="22.5" customHeight="1" x14ac:dyDescent="0.25">
      <c r="B46" s="314"/>
      <c r="C46" s="647" t="s">
        <v>290</v>
      </c>
      <c r="D46" s="676"/>
      <c r="E46" s="676"/>
      <c r="F46" s="677"/>
      <c r="G46" s="678" t="s">
        <v>364</v>
      </c>
      <c r="H46" s="679"/>
      <c r="I46" s="341"/>
    </row>
    <row r="47" spans="1:10" ht="9" customHeight="1" x14ac:dyDescent="0.25">
      <c r="B47" s="314"/>
      <c r="C47" s="669"/>
      <c r="D47" s="670"/>
      <c r="E47" s="670"/>
      <c r="F47" s="670"/>
      <c r="G47" s="670"/>
      <c r="H47" s="671"/>
      <c r="I47" s="315"/>
    </row>
    <row r="48" spans="1:10" ht="50.25" customHeight="1" x14ac:dyDescent="0.25">
      <c r="B48" s="314"/>
      <c r="C48" s="373" t="s">
        <v>291</v>
      </c>
      <c r="D48" s="374">
        <v>1</v>
      </c>
      <c r="E48" s="375" t="s">
        <v>292</v>
      </c>
      <c r="F48" s="374">
        <v>0.2</v>
      </c>
      <c r="G48" s="375" t="s">
        <v>293</v>
      </c>
      <c r="H48" s="376">
        <v>0.85</v>
      </c>
      <c r="I48" s="377"/>
    </row>
    <row r="49" spans="1:10" ht="50.55" customHeight="1" x14ac:dyDescent="0.25">
      <c r="B49" s="314"/>
      <c r="C49" s="378" t="s">
        <v>353</v>
      </c>
      <c r="D49" s="379">
        <v>1</v>
      </c>
      <c r="E49" s="380" t="s">
        <v>294</v>
      </c>
      <c r="F49" s="379">
        <v>450</v>
      </c>
      <c r="G49" s="375" t="s">
        <v>295</v>
      </c>
      <c r="H49" s="381" t="s">
        <v>58</v>
      </c>
      <c r="I49" s="348"/>
    </row>
    <row r="50" spans="1:10" ht="44.25" customHeight="1" x14ac:dyDescent="0.25">
      <c r="B50" s="314"/>
      <c r="C50" s="382" t="s">
        <v>296</v>
      </c>
      <c r="D50" s="383">
        <v>1.083</v>
      </c>
      <c r="E50" s="384" t="s">
        <v>297</v>
      </c>
      <c r="F50" s="374">
        <v>0.02</v>
      </c>
      <c r="G50" s="375" t="s">
        <v>298</v>
      </c>
      <c r="H50" s="358" t="s">
        <v>369</v>
      </c>
      <c r="I50" s="315"/>
    </row>
    <row r="51" spans="1:10" ht="52.5" customHeight="1" thickBot="1" x14ac:dyDescent="0.3">
      <c r="B51" s="314"/>
      <c r="C51" s="385" t="s">
        <v>299</v>
      </c>
      <c r="D51" s="386">
        <v>15</v>
      </c>
      <c r="E51" s="387" t="s">
        <v>300</v>
      </c>
      <c r="F51" s="386">
        <v>17</v>
      </c>
      <c r="G51" s="375" t="s">
        <v>301</v>
      </c>
      <c r="H51" s="381" t="s">
        <v>58</v>
      </c>
      <c r="I51" s="315"/>
    </row>
    <row r="52" spans="1:10" ht="51.75" customHeight="1" thickBot="1" x14ac:dyDescent="0.3">
      <c r="B52" s="314"/>
      <c r="C52" s="388" t="s">
        <v>302</v>
      </c>
      <c r="D52" s="389">
        <f>D49*F49/D50*D51*H48*F48*D48*(100%-F50)</f>
        <v>1038.365650969529</v>
      </c>
      <c r="E52" s="390" t="s">
        <v>303</v>
      </c>
      <c r="F52" s="391">
        <f>D49*F49/D50*F51*H48*F48*D48*(100%-F50)</f>
        <v>1176.814404432133</v>
      </c>
      <c r="G52" s="392" t="s">
        <v>304</v>
      </c>
      <c r="H52" s="393" t="s">
        <v>367</v>
      </c>
      <c r="I52" s="315"/>
    </row>
    <row r="53" spans="1:10" ht="44.25" customHeight="1" thickBot="1" x14ac:dyDescent="0.3">
      <c r="B53" s="314"/>
      <c r="C53" s="394" t="s">
        <v>305</v>
      </c>
      <c r="D53" s="682" t="s">
        <v>306</v>
      </c>
      <c r="E53" s="683"/>
      <c r="F53" s="683"/>
      <c r="G53" s="683"/>
      <c r="H53" s="684"/>
      <c r="I53" s="315"/>
    </row>
    <row r="54" spans="1:10" ht="7.5" customHeight="1" x14ac:dyDescent="0.25">
      <c r="B54" s="314"/>
      <c r="C54" s="367"/>
      <c r="D54" s="368"/>
      <c r="E54" s="368"/>
      <c r="F54" s="368"/>
      <c r="G54" s="368"/>
      <c r="H54" s="368"/>
      <c r="I54" s="315"/>
    </row>
    <row r="55" spans="1:10" ht="5.25" customHeight="1" thickBot="1" x14ac:dyDescent="0.3">
      <c r="B55" s="314"/>
      <c r="C55" s="370"/>
      <c r="D55" s="370"/>
      <c r="E55" s="370"/>
      <c r="F55" s="370"/>
      <c r="G55" s="370"/>
      <c r="H55" s="370"/>
      <c r="I55" s="315"/>
    </row>
    <row r="56" spans="1:10" s="399" customFormat="1" ht="23.25" customHeight="1" x14ac:dyDescent="0.25">
      <c r="A56" s="395"/>
      <c r="B56" s="396"/>
      <c r="C56" s="647" t="s">
        <v>307</v>
      </c>
      <c r="D56" s="676"/>
      <c r="E56" s="676"/>
      <c r="F56" s="677"/>
      <c r="G56" s="678" t="s">
        <v>364</v>
      </c>
      <c r="H56" s="679"/>
      <c r="I56" s="397"/>
      <c r="J56" s="398"/>
    </row>
    <row r="57" spans="1:10" ht="7.5" customHeight="1" x14ac:dyDescent="0.25">
      <c r="B57" s="314"/>
      <c r="C57" s="685"/>
      <c r="D57" s="686"/>
      <c r="E57" s="686"/>
      <c r="F57" s="686"/>
      <c r="G57" s="686"/>
      <c r="H57" s="687"/>
      <c r="I57" s="315"/>
    </row>
    <row r="58" spans="1:10" ht="52.5" customHeight="1" x14ac:dyDescent="0.25">
      <c r="B58" s="314"/>
      <c r="C58" s="400" t="s">
        <v>352</v>
      </c>
      <c r="D58" s="379">
        <v>1</v>
      </c>
      <c r="E58" s="401" t="s">
        <v>308</v>
      </c>
      <c r="F58" s="379">
        <v>0</v>
      </c>
      <c r="G58" s="401" t="s">
        <v>309</v>
      </c>
      <c r="H58" s="402">
        <v>0</v>
      </c>
      <c r="I58" s="403"/>
    </row>
    <row r="59" spans="1:10" ht="41.25" customHeight="1" x14ac:dyDescent="0.25">
      <c r="B59" s="314"/>
      <c r="C59" s="378" t="s">
        <v>310</v>
      </c>
      <c r="D59" s="356">
        <f>H58-F59-H59</f>
        <v>0</v>
      </c>
      <c r="E59" s="401" t="s">
        <v>311</v>
      </c>
      <c r="F59" s="379">
        <v>0</v>
      </c>
      <c r="G59" s="401" t="s">
        <v>312</v>
      </c>
      <c r="H59" s="404">
        <v>0</v>
      </c>
      <c r="I59" s="403"/>
    </row>
    <row r="60" spans="1:10" ht="41.25" customHeight="1" thickBot="1" x14ac:dyDescent="0.3">
      <c r="B60" s="314"/>
      <c r="C60" s="405" t="s">
        <v>313</v>
      </c>
      <c r="D60" s="406">
        <f>D59+F59</f>
        <v>0</v>
      </c>
      <c r="E60" s="407" t="s">
        <v>314</v>
      </c>
      <c r="F60" s="408" t="e">
        <f>D59/H58</f>
        <v>#DIV/0!</v>
      </c>
      <c r="G60" s="407" t="s">
        <v>315</v>
      </c>
      <c r="H60" s="409" t="e">
        <f>H59/H58</f>
        <v>#DIV/0!</v>
      </c>
      <c r="I60" s="403"/>
    </row>
    <row r="61" spans="1:10" ht="12.75" customHeight="1" thickBot="1" x14ac:dyDescent="0.3">
      <c r="B61" s="314"/>
      <c r="C61" s="410"/>
      <c r="D61" s="411"/>
      <c r="E61" s="410"/>
      <c r="F61" s="412"/>
      <c r="G61" s="410"/>
      <c r="H61" s="413"/>
      <c r="I61" s="403"/>
    </row>
    <row r="62" spans="1:10" s="399" customFormat="1" ht="23.25" customHeight="1" x14ac:dyDescent="0.25">
      <c r="A62" s="395"/>
      <c r="B62" s="396"/>
      <c r="C62" s="647" t="s">
        <v>316</v>
      </c>
      <c r="D62" s="648"/>
      <c r="E62" s="648"/>
      <c r="F62" s="648"/>
      <c r="G62" s="648"/>
      <c r="H62" s="649"/>
      <c r="I62" s="397"/>
      <c r="J62" s="398"/>
    </row>
    <row r="63" spans="1:10" ht="6" customHeight="1" thickBot="1" x14ac:dyDescent="0.3">
      <c r="B63" s="314"/>
      <c r="C63" s="414"/>
      <c r="D63" s="415"/>
      <c r="E63" s="416"/>
      <c r="F63" s="417"/>
      <c r="G63" s="416"/>
      <c r="H63" s="418"/>
      <c r="I63" s="403"/>
    </row>
    <row r="64" spans="1:10" ht="26.25" customHeight="1" x14ac:dyDescent="0.25">
      <c r="B64" s="314"/>
      <c r="C64" s="419" t="s">
        <v>317</v>
      </c>
      <c r="D64" s="420"/>
      <c r="E64" s="420"/>
      <c r="F64" s="421"/>
      <c r="G64" s="421"/>
      <c r="H64" s="422"/>
      <c r="I64" s="403"/>
    </row>
    <row r="65" spans="2:10" ht="6" customHeight="1" x14ac:dyDescent="0.25">
      <c r="B65" s="314"/>
      <c r="C65" s="423"/>
      <c r="D65" s="424"/>
      <c r="E65" s="425"/>
      <c r="F65" s="426"/>
      <c r="G65" s="425"/>
      <c r="H65" s="427"/>
      <c r="I65" s="403"/>
    </row>
    <row r="66" spans="2:10" ht="36" hidden="1" customHeight="1" x14ac:dyDescent="0.25">
      <c r="B66" s="314"/>
      <c r="C66" s="378" t="s">
        <v>215</v>
      </c>
      <c r="D66" s="428"/>
      <c r="E66" s="401" t="s">
        <v>216</v>
      </c>
      <c r="F66" s="429" t="str">
        <f>IF($H$64="x",((($D$59/$D$58)*$D$49)/$F$58*$F$49*$D$51*$D$48*$F$48*$H$48),"n.b.")</f>
        <v>n.b.</v>
      </c>
      <c r="G66" s="401" t="s">
        <v>217</v>
      </c>
      <c r="H66" s="429" t="str">
        <f>IF($H$64="x",((($D$59/$D$58)*$D$49)/$F$58*$F$49*$F$51*$D$48*$F$48*$H$48),"n.b.")</f>
        <v>n.b.</v>
      </c>
      <c r="I66" s="403"/>
    </row>
    <row r="67" spans="2:10" ht="45" customHeight="1" thickBot="1" x14ac:dyDescent="0.3">
      <c r="B67" s="314"/>
      <c r="C67" s="688" t="s">
        <v>318</v>
      </c>
      <c r="D67" s="689"/>
      <c r="E67" s="689"/>
      <c r="F67" s="689"/>
      <c r="G67" s="689"/>
      <c r="H67" s="690"/>
      <c r="I67" s="403"/>
    </row>
    <row r="68" spans="2:10" ht="26.25" customHeight="1" x14ac:dyDescent="0.25">
      <c r="B68" s="314"/>
      <c r="C68" s="419" t="s">
        <v>319</v>
      </c>
      <c r="D68" s="430"/>
      <c r="E68" s="430"/>
      <c r="F68" s="431"/>
      <c r="G68" s="421"/>
      <c r="H68" s="422" t="s">
        <v>58</v>
      </c>
      <c r="I68" s="403"/>
    </row>
    <row r="69" spans="2:10" ht="6" customHeight="1" x14ac:dyDescent="0.25">
      <c r="B69" s="314"/>
      <c r="C69" s="432"/>
      <c r="D69" s="433"/>
      <c r="E69" s="434"/>
      <c r="F69" s="435"/>
      <c r="G69" s="434"/>
      <c r="H69" s="427"/>
      <c r="I69" s="403"/>
    </row>
    <row r="70" spans="2:10" ht="34.5" hidden="1" customHeight="1" x14ac:dyDescent="0.25">
      <c r="B70" s="314"/>
      <c r="C70" s="378" t="s">
        <v>320</v>
      </c>
      <c r="D70" s="428"/>
      <c r="E70" s="401" t="s">
        <v>216</v>
      </c>
      <c r="F70" s="429" t="e">
        <f>IF($H$68="x",((($D$59/$D$58)*$D$49)/$F$58*$F$49*$D$51*$D$48*$F$48),"n.b.")</f>
        <v>#DIV/0!</v>
      </c>
      <c r="G70" s="401" t="s">
        <v>217</v>
      </c>
      <c r="H70" s="429" t="e">
        <f>IF($H$68="x",((($D$59/$D$58)*$D$49)/$F$58*$F$49*$F$51*$D$48*$F$48),"n.b.")</f>
        <v>#DIV/0!</v>
      </c>
      <c r="I70" s="403"/>
    </row>
    <row r="71" spans="2:10" ht="47.25" customHeight="1" thickBot="1" x14ac:dyDescent="0.3">
      <c r="B71" s="314"/>
      <c r="C71" s="691" t="s">
        <v>321</v>
      </c>
      <c r="D71" s="692"/>
      <c r="E71" s="693"/>
      <c r="F71" s="693"/>
      <c r="G71" s="693"/>
      <c r="H71" s="694"/>
      <c r="I71" s="403"/>
    </row>
    <row r="72" spans="2:10" ht="51" customHeight="1" thickBot="1" x14ac:dyDescent="0.3">
      <c r="B72" s="314"/>
      <c r="C72" s="436" t="s">
        <v>322</v>
      </c>
      <c r="D72" s="437" t="e">
        <f>IF(H66="n.b.",F70,F66)</f>
        <v>#DIV/0!</v>
      </c>
      <c r="E72" s="438" t="s">
        <v>323</v>
      </c>
      <c r="F72" s="439" t="e">
        <f>IF(H66="n.b.",H70,H66)</f>
        <v>#DIV/0!</v>
      </c>
      <c r="G72" s="440" t="s">
        <v>285</v>
      </c>
      <c r="H72" s="441">
        <f>D37</f>
        <v>1166</v>
      </c>
      <c r="I72" s="442"/>
      <c r="J72" s="313" t="s">
        <v>356</v>
      </c>
    </row>
    <row r="73" spans="2:10" ht="68.25" customHeight="1" thickBot="1" x14ac:dyDescent="0.3">
      <c r="B73" s="314"/>
      <c r="C73" s="443" t="s">
        <v>324</v>
      </c>
      <c r="D73" s="444"/>
      <c r="E73" s="445" t="s">
        <v>325</v>
      </c>
      <c r="F73" s="446"/>
      <c r="G73" s="445" t="s">
        <v>326</v>
      </c>
      <c r="H73" s="447"/>
      <c r="I73" s="403"/>
    </row>
    <row r="74" spans="2:10" ht="19.5" customHeight="1" thickBot="1" x14ac:dyDescent="0.3">
      <c r="B74" s="314"/>
      <c r="C74" s="695" t="s">
        <v>327</v>
      </c>
      <c r="D74" s="696"/>
      <c r="E74" s="696"/>
      <c r="F74" s="696"/>
      <c r="G74" s="696"/>
      <c r="H74" s="697"/>
      <c r="I74" s="315"/>
    </row>
    <row r="75" spans="2:10" ht="21.75" customHeight="1" thickBot="1" x14ac:dyDescent="0.3">
      <c r="B75" s="369"/>
      <c r="C75" s="698" t="s">
        <v>328</v>
      </c>
      <c r="D75" s="698"/>
      <c r="E75" s="698"/>
      <c r="F75" s="698"/>
      <c r="G75" s="698"/>
      <c r="H75" s="698"/>
      <c r="I75" s="372"/>
    </row>
    <row r="76" spans="2:10" ht="9" customHeight="1" thickBot="1" x14ac:dyDescent="0.3">
      <c r="B76" s="314"/>
      <c r="C76" s="699"/>
      <c r="D76" s="699"/>
      <c r="E76" s="699"/>
      <c r="F76" s="699"/>
      <c r="G76" s="699"/>
      <c r="H76" s="699"/>
      <c r="I76" s="315"/>
    </row>
    <row r="77" spans="2:10" ht="22.5" customHeight="1" x14ac:dyDescent="0.25">
      <c r="B77" s="314"/>
      <c r="C77" s="647" t="s">
        <v>329</v>
      </c>
      <c r="D77" s="680"/>
      <c r="E77" s="680"/>
      <c r="F77" s="680"/>
      <c r="G77" s="680"/>
      <c r="H77" s="681"/>
      <c r="I77" s="341"/>
    </row>
    <row r="78" spans="2:10" ht="6.75" customHeight="1" x14ac:dyDescent="0.25">
      <c r="B78" s="314"/>
      <c r="C78" s="669"/>
      <c r="D78" s="670"/>
      <c r="E78" s="670"/>
      <c r="F78" s="670"/>
      <c r="G78" s="670"/>
      <c r="H78" s="671"/>
      <c r="I78" s="315"/>
    </row>
    <row r="79" spans="2:10" ht="27.75" customHeight="1" x14ac:dyDescent="0.25">
      <c r="B79" s="314"/>
      <c r="C79" s="378" t="s">
        <v>330</v>
      </c>
      <c r="D79" s="448"/>
      <c r="E79" s="700" t="s">
        <v>331</v>
      </c>
      <c r="F79" s="666"/>
      <c r="G79" s="702"/>
      <c r="H79" s="703"/>
      <c r="I79" s="449"/>
    </row>
    <row r="80" spans="2:10" ht="27.75" customHeight="1" x14ac:dyDescent="0.25">
      <c r="B80" s="314"/>
      <c r="C80" s="450" t="s">
        <v>332</v>
      </c>
      <c r="D80" s="448"/>
      <c r="E80" s="700"/>
      <c r="F80" s="666"/>
      <c r="G80" s="702"/>
      <c r="H80" s="703"/>
      <c r="I80" s="449"/>
    </row>
    <row r="81" spans="1:10" ht="28.5" customHeight="1" x14ac:dyDescent="0.25">
      <c r="B81" s="314"/>
      <c r="C81" s="378" t="s">
        <v>333</v>
      </c>
      <c r="D81" s="451"/>
      <c r="E81" s="701"/>
      <c r="F81" s="702"/>
      <c r="G81" s="702"/>
      <c r="H81" s="703"/>
      <c r="I81" s="449"/>
    </row>
    <row r="82" spans="1:10" ht="6" customHeight="1" x14ac:dyDescent="0.25">
      <c r="B82" s="314"/>
      <c r="C82" s="704"/>
      <c r="D82" s="705"/>
      <c r="E82" s="705"/>
      <c r="F82" s="705"/>
      <c r="G82" s="705"/>
      <c r="H82" s="706"/>
      <c r="I82" s="452"/>
    </row>
    <row r="83" spans="1:10" ht="29.25" customHeight="1" x14ac:dyDescent="0.25">
      <c r="B83" s="314"/>
      <c r="C83" s="378" t="s">
        <v>334</v>
      </c>
      <c r="D83" s="453"/>
      <c r="E83" s="700" t="s">
        <v>331</v>
      </c>
      <c r="F83" s="707"/>
      <c r="G83" s="708"/>
      <c r="H83" s="709"/>
      <c r="I83" s="449"/>
    </row>
    <row r="84" spans="1:10" ht="28.5" customHeight="1" x14ac:dyDescent="0.25">
      <c r="B84" s="314"/>
      <c r="C84" s="378" t="s">
        <v>335</v>
      </c>
      <c r="D84" s="451"/>
      <c r="E84" s="701"/>
      <c r="F84" s="710"/>
      <c r="G84" s="711"/>
      <c r="H84" s="712"/>
      <c r="I84" s="449"/>
    </row>
    <row r="85" spans="1:10" ht="6" customHeight="1" x14ac:dyDescent="0.25">
      <c r="A85" s="316"/>
      <c r="B85" s="314"/>
      <c r="C85" s="704"/>
      <c r="D85" s="705"/>
      <c r="E85" s="705"/>
      <c r="F85" s="705"/>
      <c r="G85" s="705"/>
      <c r="H85" s="706"/>
      <c r="I85" s="452"/>
      <c r="J85" s="317"/>
    </row>
    <row r="86" spans="1:10" ht="26.25" customHeight="1" x14ac:dyDescent="0.25">
      <c r="A86" s="316"/>
      <c r="B86" s="314"/>
      <c r="C86" s="378" t="s">
        <v>336</v>
      </c>
      <c r="D86" s="453"/>
      <c r="E86" s="700" t="s">
        <v>331</v>
      </c>
      <c r="F86" s="666"/>
      <c r="G86" s="702"/>
      <c r="H86" s="703"/>
      <c r="I86" s="449"/>
      <c r="J86" s="317"/>
    </row>
    <row r="87" spans="1:10" ht="17.25" customHeight="1" thickBot="1" x14ac:dyDescent="0.3">
      <c r="A87" s="316"/>
      <c r="B87" s="314"/>
      <c r="C87" s="405" t="s">
        <v>337</v>
      </c>
      <c r="D87" s="454"/>
      <c r="E87" s="713"/>
      <c r="F87" s="714"/>
      <c r="G87" s="714"/>
      <c r="H87" s="715"/>
      <c r="I87" s="449"/>
      <c r="J87" s="317"/>
    </row>
    <row r="88" spans="1:10" ht="3.75" customHeight="1" x14ac:dyDescent="0.25">
      <c r="A88" s="316"/>
      <c r="B88" s="314"/>
      <c r="C88" s="716"/>
      <c r="D88" s="716"/>
      <c r="E88" s="716"/>
      <c r="F88" s="716"/>
      <c r="G88" s="716"/>
      <c r="H88" s="716"/>
      <c r="I88" s="315"/>
      <c r="J88" s="317"/>
    </row>
    <row r="89" spans="1:10" s="460" customFormat="1" ht="3.75" customHeight="1" x14ac:dyDescent="0.25">
      <c r="A89" s="455"/>
      <c r="B89" s="456"/>
      <c r="C89" s="368"/>
      <c r="D89" s="368"/>
      <c r="E89" s="368"/>
      <c r="F89" s="457"/>
      <c r="G89" s="457"/>
      <c r="H89" s="457"/>
      <c r="I89" s="458"/>
      <c r="J89" s="459"/>
    </row>
    <row r="90" spans="1:10" ht="3.75" customHeight="1" thickBot="1" x14ac:dyDescent="0.3">
      <c r="B90" s="314"/>
      <c r="C90" s="548"/>
      <c r="D90" s="548"/>
      <c r="E90" s="548"/>
      <c r="F90" s="548"/>
      <c r="G90" s="548"/>
      <c r="H90" s="548"/>
      <c r="I90" s="315"/>
    </row>
    <row r="91" spans="1:10" ht="23.25" customHeight="1" x14ac:dyDescent="0.25">
      <c r="B91" s="461"/>
      <c r="C91" s="717" t="s">
        <v>338</v>
      </c>
      <c r="D91" s="718"/>
      <c r="E91" s="718"/>
      <c r="F91" s="718"/>
      <c r="G91" s="718"/>
      <c r="H91" s="719"/>
      <c r="I91" s="462"/>
    </row>
    <row r="92" spans="1:10" ht="7.5" customHeight="1" x14ac:dyDescent="0.25">
      <c r="B92" s="314"/>
      <c r="C92" s="669"/>
      <c r="D92" s="670"/>
      <c r="E92" s="670"/>
      <c r="F92" s="670"/>
      <c r="G92" s="670"/>
      <c r="H92" s="671"/>
      <c r="I92" s="315"/>
    </row>
    <row r="93" spans="1:10" ht="27" customHeight="1" x14ac:dyDescent="0.25">
      <c r="B93" s="314"/>
      <c r="C93" s="463"/>
      <c r="D93" s="723" t="s">
        <v>339</v>
      </c>
      <c r="E93" s="724"/>
      <c r="F93" s="464"/>
      <c r="G93" s="723" t="s">
        <v>340</v>
      </c>
      <c r="H93" s="725"/>
      <c r="I93" s="315"/>
    </row>
    <row r="94" spans="1:10" ht="6" customHeight="1" x14ac:dyDescent="0.25">
      <c r="A94" s="316"/>
      <c r="B94" s="314"/>
      <c r="C94" s="465"/>
      <c r="D94" s="466"/>
      <c r="E94" s="466"/>
      <c r="F94" s="466"/>
      <c r="G94" s="466"/>
      <c r="H94" s="466"/>
      <c r="I94" s="449"/>
      <c r="J94" s="317"/>
    </row>
    <row r="95" spans="1:10" ht="2.25" customHeight="1" thickBot="1" x14ac:dyDescent="0.3">
      <c r="A95" s="316"/>
      <c r="B95" s="314"/>
      <c r="C95" s="699"/>
      <c r="D95" s="699"/>
      <c r="E95" s="699"/>
      <c r="F95" s="699"/>
      <c r="G95" s="699"/>
      <c r="H95" s="699"/>
      <c r="I95" s="315"/>
      <c r="J95" s="317"/>
    </row>
    <row r="96" spans="1:10" ht="11.25" customHeight="1" thickBot="1" x14ac:dyDescent="0.3">
      <c r="A96" s="316"/>
      <c r="B96" s="369"/>
      <c r="C96" s="467"/>
      <c r="D96" s="468"/>
      <c r="E96" s="469"/>
      <c r="F96" s="470"/>
      <c r="G96" s="470"/>
      <c r="H96" s="470"/>
      <c r="I96" s="471"/>
      <c r="J96" s="317"/>
    </row>
    <row r="97" spans="1:10" ht="12" customHeight="1" x14ac:dyDescent="0.25">
      <c r="A97" s="316"/>
      <c r="B97" s="314"/>
      <c r="C97" s="617"/>
      <c r="D97" s="617"/>
      <c r="E97" s="617"/>
      <c r="F97" s="617"/>
      <c r="G97" s="617"/>
      <c r="H97" s="617"/>
      <c r="I97" s="315"/>
      <c r="J97" s="317"/>
    </row>
    <row r="98" spans="1:10" ht="9.75" customHeight="1" thickBot="1" x14ac:dyDescent="0.3">
      <c r="A98" s="316"/>
      <c r="B98" s="314"/>
      <c r="C98" s="617"/>
      <c r="D98" s="617"/>
      <c r="E98" s="617"/>
      <c r="F98" s="617"/>
      <c r="G98" s="617"/>
      <c r="H98" s="617"/>
      <c r="I98" s="315"/>
      <c r="J98" s="317"/>
    </row>
    <row r="99" spans="1:10" s="474" customFormat="1" ht="22.5" customHeight="1" x14ac:dyDescent="0.2">
      <c r="A99" s="472"/>
      <c r="B99" s="473"/>
      <c r="C99" s="726" t="s">
        <v>341</v>
      </c>
      <c r="D99" s="727"/>
      <c r="E99" s="727"/>
      <c r="F99" s="727"/>
      <c r="G99" s="727"/>
      <c r="H99" s="728"/>
      <c r="I99" s="341"/>
    </row>
    <row r="100" spans="1:10" ht="5.25" customHeight="1" x14ac:dyDescent="0.25">
      <c r="A100" s="316"/>
      <c r="B100" s="314"/>
      <c r="C100" s="669"/>
      <c r="D100" s="670"/>
      <c r="E100" s="670"/>
      <c r="F100" s="670"/>
      <c r="G100" s="670"/>
      <c r="H100" s="671"/>
      <c r="I100" s="315"/>
      <c r="J100" s="317"/>
    </row>
    <row r="101" spans="1:10" s="345" customFormat="1" ht="18.75" customHeight="1" x14ac:dyDescent="0.2">
      <c r="A101" s="342"/>
      <c r="B101" s="343"/>
      <c r="C101" s="475" t="s">
        <v>255</v>
      </c>
      <c r="D101" s="729" t="s">
        <v>342</v>
      </c>
      <c r="E101" s="730"/>
      <c r="F101" s="730"/>
      <c r="G101" s="729" t="s">
        <v>343</v>
      </c>
      <c r="H101" s="731"/>
      <c r="I101" s="344"/>
    </row>
    <row r="102" spans="1:10" s="345" customFormat="1" ht="18.75" customHeight="1" x14ac:dyDescent="0.2">
      <c r="A102" s="342"/>
      <c r="B102" s="343"/>
      <c r="C102" s="476" t="s">
        <v>370</v>
      </c>
      <c r="D102" s="732" t="s">
        <v>371</v>
      </c>
      <c r="E102" s="732"/>
      <c r="F102" s="732"/>
      <c r="G102" s="733">
        <v>43564</v>
      </c>
      <c r="H102" s="734"/>
      <c r="I102" s="477"/>
    </row>
    <row r="103" spans="1:10" s="345" customFormat="1" ht="18.75" customHeight="1" x14ac:dyDescent="0.2">
      <c r="A103" s="342"/>
      <c r="B103" s="343"/>
      <c r="C103" s="478"/>
      <c r="D103" s="720"/>
      <c r="E103" s="720"/>
      <c r="F103" s="720"/>
      <c r="G103" s="721"/>
      <c r="H103" s="722"/>
      <c r="I103" s="477"/>
    </row>
    <row r="104" spans="1:10" s="345" customFormat="1" ht="18.75" customHeight="1" x14ac:dyDescent="0.2">
      <c r="A104" s="342"/>
      <c r="B104" s="343"/>
      <c r="C104" s="478"/>
      <c r="D104" s="720"/>
      <c r="E104" s="720"/>
      <c r="F104" s="720"/>
      <c r="G104" s="721"/>
      <c r="H104" s="722"/>
      <c r="I104" s="477"/>
    </row>
    <row r="105" spans="1:10" s="345" customFormat="1" ht="18.75" customHeight="1" x14ac:dyDescent="0.2">
      <c r="A105" s="342"/>
      <c r="B105" s="343"/>
      <c r="C105" s="478"/>
      <c r="D105" s="720"/>
      <c r="E105" s="720"/>
      <c r="F105" s="720"/>
      <c r="G105" s="721"/>
      <c r="H105" s="722"/>
      <c r="I105" s="477"/>
    </row>
    <row r="106" spans="1:10" s="345" customFormat="1" ht="18.75" customHeight="1" thickBot="1" x14ac:dyDescent="0.25">
      <c r="A106" s="342"/>
      <c r="B106" s="343"/>
      <c r="C106" s="479"/>
      <c r="D106" s="737"/>
      <c r="E106" s="737"/>
      <c r="F106" s="737"/>
      <c r="G106" s="738"/>
      <c r="H106" s="739"/>
      <c r="I106" s="477"/>
    </row>
    <row r="107" spans="1:10" ht="9.75" customHeight="1" thickBot="1" x14ac:dyDescent="0.3">
      <c r="A107" s="316"/>
      <c r="B107" s="314"/>
      <c r="C107" s="617"/>
      <c r="D107" s="617"/>
      <c r="E107" s="617"/>
      <c r="F107" s="617"/>
      <c r="G107" s="617"/>
      <c r="H107" s="617"/>
      <c r="I107" s="315"/>
      <c r="J107" s="317"/>
    </row>
    <row r="108" spans="1:10" ht="22.5" customHeight="1" x14ac:dyDescent="0.25">
      <c r="A108" s="316"/>
      <c r="B108" s="314"/>
      <c r="C108" s="726" t="s">
        <v>344</v>
      </c>
      <c r="D108" s="727"/>
      <c r="E108" s="727"/>
      <c r="F108" s="727"/>
      <c r="G108" s="727"/>
      <c r="H108" s="728"/>
      <c r="I108" s="341"/>
      <c r="J108" s="317"/>
    </row>
    <row r="109" spans="1:10" ht="6.75" customHeight="1" x14ac:dyDescent="0.25">
      <c r="A109" s="316"/>
      <c r="B109" s="314"/>
      <c r="C109" s="669"/>
      <c r="D109" s="670"/>
      <c r="E109" s="670"/>
      <c r="F109" s="670"/>
      <c r="G109" s="670"/>
      <c r="H109" s="671"/>
      <c r="I109" s="315"/>
      <c r="J109" s="317"/>
    </row>
    <row r="110" spans="1:10" s="485" customFormat="1" ht="18.75" customHeight="1" x14ac:dyDescent="0.25">
      <c r="A110" s="368"/>
      <c r="B110" s="480"/>
      <c r="C110" s="481" t="s">
        <v>345</v>
      </c>
      <c r="D110" s="482" t="s">
        <v>346</v>
      </c>
      <c r="E110" s="483" t="s">
        <v>347</v>
      </c>
      <c r="F110" s="481" t="s">
        <v>345</v>
      </c>
      <c r="G110" s="482" t="s">
        <v>346</v>
      </c>
      <c r="H110" s="483" t="s">
        <v>347</v>
      </c>
      <c r="I110" s="484"/>
    </row>
    <row r="111" spans="1:10" s="485" customFormat="1" ht="18.75" customHeight="1" x14ac:dyDescent="0.25">
      <c r="A111" s="368"/>
      <c r="B111" s="480"/>
      <c r="C111" s="486" t="s">
        <v>366</v>
      </c>
      <c r="D111" s="487" t="s">
        <v>363</v>
      </c>
      <c r="E111" s="488" t="s">
        <v>365</v>
      </c>
      <c r="F111" s="489"/>
      <c r="G111" s="490"/>
      <c r="H111" s="491"/>
      <c r="I111" s="492"/>
    </row>
    <row r="112" spans="1:10" s="485" customFormat="1" ht="18.75" customHeight="1" x14ac:dyDescent="0.25">
      <c r="A112" s="368"/>
      <c r="B112" s="480"/>
      <c r="C112" s="486"/>
      <c r="D112" s="487"/>
      <c r="E112" s="488"/>
      <c r="F112" s="489"/>
      <c r="G112" s="490"/>
      <c r="H112" s="491"/>
      <c r="I112" s="492"/>
    </row>
    <row r="113" spans="1:10" s="485" customFormat="1" ht="18.75" customHeight="1" x14ac:dyDescent="0.25">
      <c r="A113" s="368"/>
      <c r="B113" s="480"/>
      <c r="C113" s="486"/>
      <c r="D113" s="487"/>
      <c r="E113" s="488"/>
      <c r="F113" s="489"/>
      <c r="G113" s="490"/>
      <c r="H113" s="491"/>
      <c r="I113" s="492"/>
    </row>
    <row r="114" spans="1:10" s="485" customFormat="1" ht="18.75" customHeight="1" x14ac:dyDescent="0.25">
      <c r="A114" s="368"/>
      <c r="B114" s="480"/>
      <c r="C114" s="486"/>
      <c r="D114" s="487"/>
      <c r="E114" s="488"/>
      <c r="F114" s="489"/>
      <c r="G114" s="490"/>
      <c r="H114" s="491"/>
      <c r="I114" s="492"/>
    </row>
    <row r="115" spans="1:10" s="485" customFormat="1" ht="18.75" customHeight="1" x14ac:dyDescent="0.25">
      <c r="A115" s="368"/>
      <c r="B115" s="480"/>
      <c r="C115" s="486"/>
      <c r="D115" s="487"/>
      <c r="E115" s="488"/>
      <c r="F115" s="489"/>
      <c r="G115" s="490"/>
      <c r="H115" s="491"/>
      <c r="I115" s="492"/>
    </row>
    <row r="116" spans="1:10" s="485" customFormat="1" ht="18.75" customHeight="1" thickBot="1" x14ac:dyDescent="0.3">
      <c r="A116" s="368"/>
      <c r="B116" s="480"/>
      <c r="C116" s="493"/>
      <c r="D116" s="494"/>
      <c r="E116" s="495"/>
      <c r="F116" s="496"/>
      <c r="G116" s="497"/>
      <c r="H116" s="498"/>
      <c r="I116" s="492"/>
    </row>
    <row r="117" spans="1:10" ht="7.5" customHeight="1" x14ac:dyDescent="0.25">
      <c r="A117" s="316"/>
      <c r="B117" s="314"/>
      <c r="C117" s="499"/>
      <c r="D117" s="500"/>
      <c r="E117" s="500"/>
      <c r="F117" s="500"/>
      <c r="G117" s="501"/>
      <c r="H117" s="501"/>
      <c r="I117" s="502"/>
      <c r="J117" s="317"/>
    </row>
    <row r="118" spans="1:10" ht="3.75" customHeight="1" thickBot="1" x14ac:dyDescent="0.3">
      <c r="A118" s="316"/>
      <c r="B118" s="314"/>
      <c r="C118" s="617"/>
      <c r="D118" s="617"/>
      <c r="E118" s="617"/>
      <c r="F118" s="617"/>
      <c r="G118" s="617"/>
      <c r="H118" s="617"/>
      <c r="I118" s="315"/>
      <c r="J118" s="317"/>
    </row>
    <row r="119" spans="1:10" ht="3.75" customHeight="1" x14ac:dyDescent="0.25">
      <c r="A119" s="316"/>
      <c r="B119" s="314"/>
      <c r="C119" s="740"/>
      <c r="D119" s="740"/>
      <c r="E119" s="740"/>
      <c r="F119" s="740"/>
      <c r="G119" s="740"/>
      <c r="H119" s="740"/>
      <c r="I119" s="315"/>
      <c r="J119" s="317"/>
    </row>
    <row r="120" spans="1:10" ht="74.25" customHeight="1" x14ac:dyDescent="0.25">
      <c r="A120" s="316"/>
      <c r="B120" s="314"/>
      <c r="C120" s="735" t="s">
        <v>354</v>
      </c>
      <c r="D120" s="736"/>
      <c r="E120" s="736"/>
      <c r="F120" s="736"/>
      <c r="G120" s="736"/>
      <c r="H120" s="736"/>
      <c r="I120" s="403"/>
      <c r="J120" s="317"/>
    </row>
    <row r="121" spans="1:10" ht="5.25" customHeight="1" x14ac:dyDescent="0.25">
      <c r="A121" s="316"/>
      <c r="B121" s="314"/>
      <c r="C121" s="466"/>
      <c r="D121" s="466"/>
      <c r="E121" s="466"/>
      <c r="F121" s="466"/>
      <c r="G121" s="466"/>
      <c r="H121" s="503"/>
      <c r="I121" s="403"/>
      <c r="J121" s="317"/>
    </row>
    <row r="122" spans="1:10" ht="3.75" hidden="1" customHeight="1" x14ac:dyDescent="0.25">
      <c r="A122" s="316"/>
      <c r="B122" s="314"/>
      <c r="C122" s="466"/>
      <c r="D122" s="466"/>
      <c r="E122" s="466"/>
      <c r="F122" s="466"/>
      <c r="G122" s="466"/>
      <c r="H122" s="503"/>
      <c r="I122" s="403"/>
      <c r="J122" s="317"/>
    </row>
    <row r="123" spans="1:10" ht="20.25" customHeight="1" x14ac:dyDescent="0.25">
      <c r="A123" s="316"/>
      <c r="B123" s="314"/>
      <c r="C123" s="742"/>
      <c r="D123" s="743"/>
      <c r="E123" s="503"/>
      <c r="F123" s="742" t="s">
        <v>366</v>
      </c>
      <c r="G123" s="743"/>
      <c r="H123" s="503"/>
      <c r="I123" s="403"/>
      <c r="J123" s="317"/>
    </row>
    <row r="124" spans="1:10" ht="16.5" customHeight="1" x14ac:dyDescent="0.25">
      <c r="A124" s="316"/>
      <c r="B124" s="314"/>
      <c r="C124" s="744" t="s">
        <v>348</v>
      </c>
      <c r="D124" s="745"/>
      <c r="E124" s="503"/>
      <c r="F124" s="744" t="s">
        <v>349</v>
      </c>
      <c r="G124" s="745"/>
      <c r="H124" s="503"/>
      <c r="I124" s="403"/>
      <c r="J124" s="317"/>
    </row>
    <row r="125" spans="1:10" ht="9" customHeight="1" x14ac:dyDescent="0.25">
      <c r="A125" s="316"/>
      <c r="B125" s="314"/>
      <c r="C125" s="466"/>
      <c r="D125" s="503"/>
      <c r="E125" s="503"/>
      <c r="F125" s="503"/>
      <c r="G125" s="503"/>
      <c r="H125" s="503"/>
      <c r="I125" s="403"/>
      <c r="J125" s="317"/>
    </row>
    <row r="126" spans="1:10" s="313" customFormat="1" ht="3.75" customHeight="1" thickBot="1" x14ac:dyDescent="0.3">
      <c r="A126" s="312"/>
      <c r="B126" s="314"/>
      <c r="C126" s="312"/>
      <c r="D126" s="312"/>
      <c r="E126" s="312"/>
      <c r="F126" s="312"/>
      <c r="G126" s="312"/>
      <c r="H126" s="312"/>
      <c r="I126" s="315"/>
    </row>
    <row r="127" spans="1:10" s="506" customFormat="1" ht="18.75" customHeight="1" thickBot="1" x14ac:dyDescent="0.25">
      <c r="A127" s="504"/>
      <c r="B127" s="343"/>
      <c r="C127" s="746" t="s">
        <v>361</v>
      </c>
      <c r="D127" s="747"/>
      <c r="E127" s="748" t="str">
        <f>F123</f>
        <v>Andrés Godoy</v>
      </c>
      <c r="F127" s="749"/>
      <c r="G127" s="750" t="s">
        <v>362</v>
      </c>
      <c r="H127" s="751"/>
      <c r="I127" s="505"/>
    </row>
    <row r="128" spans="1:10" s="313" customFormat="1" ht="9.75" customHeight="1" thickBot="1" x14ac:dyDescent="0.3">
      <c r="A128" s="312"/>
      <c r="B128" s="369"/>
      <c r="C128" s="741" t="s">
        <v>358</v>
      </c>
      <c r="D128" s="741"/>
      <c r="E128" s="507"/>
      <c r="F128" s="507"/>
      <c r="G128" s="507"/>
      <c r="H128" s="507"/>
      <c r="I128" s="372"/>
    </row>
    <row r="129" spans="1:10" ht="13.2" hidden="1" x14ac:dyDescent="0.25">
      <c r="A129" s="316"/>
      <c r="J129" s="317"/>
    </row>
    <row r="130" spans="1:10" ht="13.2" hidden="1" x14ac:dyDescent="0.25">
      <c r="A130" s="316"/>
      <c r="J130" s="317"/>
    </row>
    <row r="131" spans="1:10" ht="13.2" hidden="1" x14ac:dyDescent="0.25">
      <c r="A131" s="316"/>
      <c r="J131" s="317"/>
    </row>
    <row r="132" spans="1:10" ht="13.2" hidden="1" x14ac:dyDescent="0.25">
      <c r="A132" s="316"/>
      <c r="J132" s="317"/>
    </row>
    <row r="133" spans="1:10" s="313" customFormat="1" ht="7.5" customHeight="1" x14ac:dyDescent="0.25">
      <c r="A133" s="312"/>
      <c r="B133" s="312"/>
      <c r="C133" s="312"/>
      <c r="D133" s="312"/>
      <c r="E133" s="312"/>
      <c r="F133" s="312"/>
      <c r="G133" s="312"/>
      <c r="H133" s="312"/>
      <c r="I133" s="312"/>
    </row>
    <row r="134" spans="1:10" ht="13.2" hidden="1" x14ac:dyDescent="0.25">
      <c r="A134" s="316"/>
      <c r="J134" s="317"/>
    </row>
    <row r="135" spans="1:10" ht="13.2" hidden="1" x14ac:dyDescent="0.25">
      <c r="A135" s="316"/>
      <c r="J135" s="317"/>
    </row>
    <row r="136" spans="1:10" ht="13.2" hidden="1" x14ac:dyDescent="0.25">
      <c r="A136" s="316"/>
      <c r="J136" s="317"/>
    </row>
    <row r="137" spans="1:10" ht="13.2" hidden="1" x14ac:dyDescent="0.25">
      <c r="A137" s="316"/>
      <c r="J137" s="317"/>
    </row>
    <row r="138" spans="1:10" ht="13.2" hidden="1" x14ac:dyDescent="0.25">
      <c r="A138" s="316"/>
      <c r="J138" s="317"/>
    </row>
    <row r="139" spans="1:10" ht="13.2" hidden="1" x14ac:dyDescent="0.25">
      <c r="A139" s="316"/>
      <c r="J139" s="317"/>
    </row>
    <row r="140" spans="1:10" ht="13.2" hidden="1" x14ac:dyDescent="0.25">
      <c r="A140" s="316"/>
      <c r="B140" s="316"/>
      <c r="I140" s="316"/>
      <c r="J140" s="317"/>
    </row>
    <row r="141" spans="1:10" ht="13.2" hidden="1" x14ac:dyDescent="0.25">
      <c r="A141" s="316"/>
      <c r="B141" s="316"/>
      <c r="I141" s="316"/>
      <c r="J141" s="317"/>
    </row>
    <row r="142" spans="1:10" ht="13.2" hidden="1" x14ac:dyDescent="0.25">
      <c r="A142" s="316"/>
      <c r="B142" s="316"/>
      <c r="I142" s="316"/>
      <c r="J142" s="317"/>
    </row>
    <row r="143" spans="1:10" ht="13.2" hidden="1" x14ac:dyDescent="0.25"/>
    <row r="144" spans="1:10" ht="13.2" x14ac:dyDescent="0.25"/>
    <row r="145" ht="13.2" x14ac:dyDescent="0.25"/>
    <row r="146" ht="13.2" x14ac:dyDescent="0.25"/>
    <row r="147" ht="13.2" x14ac:dyDescent="0.25"/>
    <row r="148" ht="13.2" x14ac:dyDescent="0.25"/>
    <row r="149" ht="13.2" x14ac:dyDescent="0.25"/>
    <row r="150" ht="13.2" x14ac:dyDescent="0.25"/>
    <row r="151" ht="13.2" x14ac:dyDescent="0.25"/>
    <row r="152" ht="13.2" x14ac:dyDescent="0.25"/>
    <row r="153" ht="13.2" x14ac:dyDescent="0.25"/>
    <row r="154" ht="13.2" x14ac:dyDescent="0.25"/>
    <row r="155" ht="13.2" x14ac:dyDescent="0.25"/>
    <row r="156" ht="13.2" x14ac:dyDescent="0.25"/>
    <row r="157" ht="13.2" x14ac:dyDescent="0.25"/>
    <row r="158" ht="13.2" x14ac:dyDescent="0.25"/>
    <row r="159" ht="13.2" x14ac:dyDescent="0.25"/>
    <row r="160" ht="13.2" x14ac:dyDescent="0.25"/>
    <row r="161" ht="13.2" x14ac:dyDescent="0.25"/>
    <row r="162" ht="13.2" x14ac:dyDescent="0.25"/>
    <row r="163" ht="13.2" x14ac:dyDescent="0.25"/>
    <row r="164" ht="13.2" x14ac:dyDescent="0.25"/>
    <row r="165" ht="13.2" x14ac:dyDescent="0.25"/>
    <row r="166" ht="13.2" x14ac:dyDescent="0.25"/>
    <row r="167" ht="13.2" x14ac:dyDescent="0.25"/>
    <row r="168" ht="13.2" x14ac:dyDescent="0.25"/>
    <row r="169" ht="13.2" x14ac:dyDescent="0.25"/>
    <row r="170" ht="13.2" x14ac:dyDescent="0.25"/>
    <row r="171" ht="13.2" x14ac:dyDescent="0.25"/>
    <row r="172" ht="13.2" x14ac:dyDescent="0.25"/>
    <row r="173" ht="13.2" x14ac:dyDescent="0.25"/>
    <row r="174" ht="13.2" x14ac:dyDescent="0.25"/>
    <row r="175" ht="13.2" x14ac:dyDescent="0.25"/>
    <row r="176" ht="13.2" x14ac:dyDescent="0.25"/>
    <row r="177" ht="13.2" x14ac:dyDescent="0.25"/>
    <row r="178" ht="13.2" x14ac:dyDescent="0.25"/>
    <row r="179" ht="13.2" x14ac:dyDescent="0.25"/>
    <row r="180" ht="13.2" x14ac:dyDescent="0.25"/>
    <row r="181" ht="13.2" x14ac:dyDescent="0.25"/>
    <row r="182" ht="13.2" x14ac:dyDescent="0.25"/>
    <row r="183" ht="13.2" x14ac:dyDescent="0.25"/>
    <row r="184" ht="13.2" x14ac:dyDescent="0.25"/>
    <row r="185" ht="13.2" x14ac:dyDescent="0.25"/>
    <row r="186" ht="13.2" x14ac:dyDescent="0.25"/>
    <row r="187" ht="13.2" x14ac:dyDescent="0.25"/>
    <row r="188" ht="13.2" x14ac:dyDescent="0.25"/>
    <row r="189" ht="13.2" x14ac:dyDescent="0.25"/>
    <row r="190" ht="13.2" x14ac:dyDescent="0.25"/>
    <row r="191" ht="13.2" x14ac:dyDescent="0.25"/>
    <row r="192" ht="13.2" x14ac:dyDescent="0.25"/>
    <row r="193" ht="13.2" x14ac:dyDescent="0.25"/>
    <row r="194" ht="13.2" x14ac:dyDescent="0.25"/>
    <row r="195" ht="13.2" x14ac:dyDescent="0.25"/>
    <row r="196" ht="13.2" x14ac:dyDescent="0.25"/>
    <row r="197" ht="13.2" x14ac:dyDescent="0.25"/>
    <row r="198" ht="13.2" x14ac:dyDescent="0.25"/>
    <row r="199" ht="13.2" x14ac:dyDescent="0.25"/>
    <row r="200" ht="13.2" x14ac:dyDescent="0.25"/>
    <row r="201" ht="13.2" x14ac:dyDescent="0.25"/>
    <row r="202" ht="13.2" x14ac:dyDescent="0.25"/>
    <row r="203" ht="13.2" x14ac:dyDescent="0.25"/>
    <row r="204" ht="13.2" x14ac:dyDescent="0.25"/>
    <row r="205" ht="13.2" x14ac:dyDescent="0.25"/>
    <row r="206" ht="13.2" x14ac:dyDescent="0.25"/>
    <row r="207" ht="13.2" x14ac:dyDescent="0.25"/>
    <row r="208" ht="13.2" x14ac:dyDescent="0.25"/>
    <row r="209" ht="13.2" x14ac:dyDescent="0.25"/>
    <row r="210" ht="13.2" x14ac:dyDescent="0.25"/>
    <row r="211" ht="13.2" x14ac:dyDescent="0.25"/>
    <row r="212" ht="13.2" x14ac:dyDescent="0.25"/>
    <row r="213" ht="13.2" x14ac:dyDescent="0.25"/>
    <row r="214" ht="13.2" x14ac:dyDescent="0.25"/>
    <row r="215" ht="13.2" x14ac:dyDescent="0.25"/>
    <row r="216" ht="13.2" x14ac:dyDescent="0.25"/>
    <row r="217" ht="13.2" x14ac:dyDescent="0.25"/>
    <row r="218" ht="13.2" x14ac:dyDescent="0.25"/>
    <row r="219" ht="13.2" x14ac:dyDescent="0.25"/>
    <row r="220" ht="13.2" x14ac:dyDescent="0.25"/>
    <row r="221" ht="13.2" x14ac:dyDescent="0.25"/>
    <row r="222" ht="13.2" x14ac:dyDescent="0.25"/>
    <row r="223" ht="13.2" x14ac:dyDescent="0.25"/>
    <row r="224"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sheetData>
  <sheetProtection algorithmName="SHA-512" hashValue="S04ghe8IpbvRxIv6iPWGLwRQCcq9MTeFQJ0mSDrq85/pjHThka8EV3mC0IHgC8VQ+rSwrfLd/idyD9r06iFsQQ==" saltValue="TGgwZYP2kXXs7CiDvadKJw==" spinCount="100000" sheet="1" formatRows="0" insertRows="0" selectLockedCells="1"/>
  <mergeCells count="99">
    <mergeCell ref="C128:D128"/>
    <mergeCell ref="C123:D123"/>
    <mergeCell ref="F123:G123"/>
    <mergeCell ref="C124:D124"/>
    <mergeCell ref="F124:G124"/>
    <mergeCell ref="C127:D127"/>
    <mergeCell ref="E127:F127"/>
    <mergeCell ref="G127:H127"/>
    <mergeCell ref="C120:H120"/>
    <mergeCell ref="D104:F104"/>
    <mergeCell ref="G104:H104"/>
    <mergeCell ref="D105:F105"/>
    <mergeCell ref="G105:H105"/>
    <mergeCell ref="D106:F106"/>
    <mergeCell ref="G106:H106"/>
    <mergeCell ref="C107:H107"/>
    <mergeCell ref="C108:H108"/>
    <mergeCell ref="C109:H109"/>
    <mergeCell ref="C118:H118"/>
    <mergeCell ref="C119:H119"/>
    <mergeCell ref="D103:F103"/>
    <mergeCell ref="G103:H103"/>
    <mergeCell ref="D93:E93"/>
    <mergeCell ref="G93:H93"/>
    <mergeCell ref="C95:H95"/>
    <mergeCell ref="C97:H97"/>
    <mergeCell ref="C98:H98"/>
    <mergeCell ref="C99:H99"/>
    <mergeCell ref="C100:H100"/>
    <mergeCell ref="D101:F101"/>
    <mergeCell ref="G101:H101"/>
    <mergeCell ref="D102:F102"/>
    <mergeCell ref="G102:H102"/>
    <mergeCell ref="C92:H92"/>
    <mergeCell ref="C78:H78"/>
    <mergeCell ref="E79:E81"/>
    <mergeCell ref="F79:H81"/>
    <mergeCell ref="C82:H82"/>
    <mergeCell ref="E83:E84"/>
    <mergeCell ref="F83:H84"/>
    <mergeCell ref="C85:H85"/>
    <mergeCell ref="E86:E87"/>
    <mergeCell ref="F86:H87"/>
    <mergeCell ref="C88:H88"/>
    <mergeCell ref="C91:H91"/>
    <mergeCell ref="C77:H77"/>
    <mergeCell ref="C47:H47"/>
    <mergeCell ref="D53:H53"/>
    <mergeCell ref="C56:F56"/>
    <mergeCell ref="G56:H56"/>
    <mergeCell ref="C57:H57"/>
    <mergeCell ref="C62:H62"/>
    <mergeCell ref="C67:H67"/>
    <mergeCell ref="C71:H71"/>
    <mergeCell ref="C74:H74"/>
    <mergeCell ref="C75:H75"/>
    <mergeCell ref="C76:H76"/>
    <mergeCell ref="C35:H35"/>
    <mergeCell ref="G37:G38"/>
    <mergeCell ref="H37:H38"/>
    <mergeCell ref="C39:H39"/>
    <mergeCell ref="C46:F46"/>
    <mergeCell ref="G46:H46"/>
    <mergeCell ref="C34:H34"/>
    <mergeCell ref="C28:D28"/>
    <mergeCell ref="E28:F28"/>
    <mergeCell ref="C29:D29"/>
    <mergeCell ref="E29:F29"/>
    <mergeCell ref="C30:D30"/>
    <mergeCell ref="E30:F30"/>
    <mergeCell ref="C31:D31"/>
    <mergeCell ref="E31:F31"/>
    <mergeCell ref="C32:D32"/>
    <mergeCell ref="E32:F32"/>
    <mergeCell ref="C33:H33"/>
    <mergeCell ref="C27:D27"/>
    <mergeCell ref="E27:F27"/>
    <mergeCell ref="C16:C17"/>
    <mergeCell ref="D16:F16"/>
    <mergeCell ref="E17:F17"/>
    <mergeCell ref="C22:H22"/>
    <mergeCell ref="C23:H23"/>
    <mergeCell ref="C24:H24"/>
    <mergeCell ref="C25:H25"/>
    <mergeCell ref="C26:H26"/>
    <mergeCell ref="G17:H17"/>
    <mergeCell ref="D18:H18"/>
    <mergeCell ref="C19:H19"/>
    <mergeCell ref="C15:H15"/>
    <mergeCell ref="B2:I2"/>
    <mergeCell ref="C3:H3"/>
    <mergeCell ref="D7:E7"/>
    <mergeCell ref="C9:H9"/>
    <mergeCell ref="C4:H4"/>
    <mergeCell ref="C10:H10"/>
    <mergeCell ref="C11:H11"/>
    <mergeCell ref="D12:H12"/>
    <mergeCell ref="D13:H13"/>
    <mergeCell ref="D14:H14"/>
  </mergeCells>
  <conditionalFormatting sqref="C12">
    <cfRule type="iconSet" priority="16">
      <iconSet iconSet="3TrafficLights2">
        <cfvo type="percent" val="0"/>
        <cfvo type="percent" val="33"/>
        <cfvo type="percent" val="67"/>
      </iconSet>
    </cfRule>
  </conditionalFormatting>
  <conditionalFormatting sqref="C18:C20">
    <cfRule type="containsText" dxfId="97" priority="10" operator="containsText" text="Grün">
      <formula>NOT(ISERROR(SEARCH("Grün",C18)))</formula>
    </cfRule>
    <cfRule type="containsText" dxfId="96" priority="11" operator="containsText" text="Rot">
      <formula>NOT(ISERROR(SEARCH("Rot",C18)))</formula>
    </cfRule>
    <cfRule type="containsText" dxfId="95" priority="12" operator="containsText" text="Gelb">
      <formula>NOT(ISERROR(SEARCH("Gelb",C18)))</formula>
    </cfRule>
  </conditionalFormatting>
  <conditionalFormatting sqref="C73">
    <cfRule type="expression" dxfId="94" priority="6">
      <formula>$D$73="X"</formula>
    </cfRule>
    <cfRule type="expression" dxfId="93" priority="9">
      <formula>$D$69="X"</formula>
    </cfRule>
  </conditionalFormatting>
  <conditionalFormatting sqref="D20 F72">
    <cfRule type="cellIs" dxfId="92" priority="40" operator="greaterThanOrEqual">
      <formula>$D$37</formula>
    </cfRule>
    <cfRule type="cellIs" dxfId="91" priority="41" operator="lessThan">
      <formula>$D$37</formula>
    </cfRule>
  </conditionalFormatting>
  <conditionalFormatting sqref="D52">
    <cfRule type="cellIs" dxfId="90" priority="35" operator="greaterThanOrEqual">
      <formula>$D$37</formula>
    </cfRule>
    <cfRule type="cellIs" dxfId="89" priority="34" operator="lessThan">
      <formula>$D$37</formula>
    </cfRule>
  </conditionalFormatting>
  <conditionalFormatting sqref="D72">
    <cfRule type="cellIs" dxfId="88" priority="22" operator="lessThan">
      <formula>$D$37</formula>
    </cfRule>
    <cfRule type="containsText" dxfId="87" priority="20" operator="containsText" text="n.b.">
      <formula>NOT(ISERROR(SEARCH("n.b.",D72)))</formula>
    </cfRule>
    <cfRule type="cellIs" dxfId="86" priority="21" operator="greaterThanOrEqual">
      <formula>$D$37</formula>
    </cfRule>
  </conditionalFormatting>
  <conditionalFormatting sqref="E73">
    <cfRule type="expression" dxfId="85" priority="5">
      <formula>$F$73="X"</formula>
    </cfRule>
    <cfRule type="expression" dxfId="84" priority="8">
      <formula>$F$69="X"</formula>
    </cfRule>
  </conditionalFormatting>
  <conditionalFormatting sqref="F20 F72">
    <cfRule type="containsText" dxfId="83" priority="17" operator="containsText" text="n.b.">
      <formula>NOT(ISERROR(SEARCH("n.b.",F20)))</formula>
    </cfRule>
    <cfRule type="cellIs" dxfId="82" priority="18" operator="greaterThanOrEqual">
      <formula>$F$37</formula>
    </cfRule>
    <cfRule type="cellIs" dxfId="81" priority="19" operator="lessThan">
      <formula>$F$37</formula>
    </cfRule>
  </conditionalFormatting>
  <conditionalFormatting sqref="F52">
    <cfRule type="cellIs" dxfId="80" priority="33" operator="greaterThanOrEqual">
      <formula>$F$37</formula>
    </cfRule>
    <cfRule type="cellIs" dxfId="79" priority="32" operator="lessThan">
      <formula>$F$37</formula>
    </cfRule>
  </conditionalFormatting>
  <conditionalFormatting sqref="F66">
    <cfRule type="cellIs" dxfId="78" priority="43" operator="greaterThanOrEqual">
      <formula>$D$37</formula>
    </cfRule>
    <cfRule type="cellIs" dxfId="77" priority="42" operator="lessThan">
      <formula>$D$37</formula>
    </cfRule>
  </conditionalFormatting>
  <conditionalFormatting sqref="F70">
    <cfRule type="cellIs" dxfId="76" priority="28" operator="lessThan">
      <formula>$D$37</formula>
    </cfRule>
    <cfRule type="cellIs" dxfId="75" priority="29" operator="greaterThanOrEqual">
      <formula>$D$37</formula>
    </cfRule>
  </conditionalFormatting>
  <conditionalFormatting sqref="F72 D20">
    <cfRule type="containsText" dxfId="74" priority="39" operator="containsText" text="n.b.">
      <formula>NOT(ISERROR(SEARCH("n.b.",D20)))</formula>
    </cfRule>
  </conditionalFormatting>
  <conditionalFormatting sqref="G73">
    <cfRule type="expression" dxfId="73" priority="7">
      <formula>$H$69="X"</formula>
    </cfRule>
    <cfRule type="expression" dxfId="72" priority="4">
      <formula>$H$73="X"</formula>
    </cfRule>
  </conditionalFormatting>
  <conditionalFormatting sqref="H20">
    <cfRule type="containsText" dxfId="71" priority="3" operator="containsText" text="Green">
      <formula>NOT(ISERROR(SEARCH("Green",H20)))</formula>
    </cfRule>
    <cfRule type="containsText" dxfId="70" priority="2" operator="containsText" text="Yellow">
      <formula>NOT(ISERROR(SEARCH("Yellow",H20)))</formula>
    </cfRule>
    <cfRule type="containsText" dxfId="69" priority="23" operator="containsText" text="Rojo">
      <formula>NOT(ISERROR(SEARCH("Rojo",H20)))</formula>
    </cfRule>
    <cfRule type="containsText" dxfId="68" priority="24" operator="containsText" text="Amarillo">
      <formula>NOT(ISERROR(SEARCH("Amarillo",H20)))</formula>
    </cfRule>
    <cfRule type="containsText" dxfId="67" priority="25" operator="containsText" text="Verde">
      <formula>NOT(ISERROR(SEARCH("Verde",H20)))</formula>
    </cfRule>
    <cfRule type="containsText" dxfId="66" priority="1" operator="containsText" text="Red">
      <formula>NOT(ISERROR(SEARCH("Red",H20)))</formula>
    </cfRule>
  </conditionalFormatting>
  <conditionalFormatting sqref="H66">
    <cfRule type="cellIs" dxfId="65" priority="30" operator="lessThan">
      <formula>$D$37</formula>
    </cfRule>
    <cfRule type="cellIs" dxfId="64" priority="31" operator="greaterThanOrEqual">
      <formula>$D$37</formula>
    </cfRule>
  </conditionalFormatting>
  <conditionalFormatting sqref="H70">
    <cfRule type="cellIs" dxfId="63" priority="26" operator="lessThan">
      <formula>$D$37</formula>
    </cfRule>
    <cfRule type="cellIs" dxfId="62" priority="27" operator="greaterThanOrEqual">
      <formula>$D$37</formula>
    </cfRule>
  </conditionalFormatting>
  <pageMargins left="0.70866141732283472" right="0.51181102362204722" top="0.78740157480314965" bottom="0.59055118110236227" header="0.31496062992125984" footer="0.31496062992125984"/>
  <pageSetup paperSize="9" scale="70" fitToHeight="0" orientation="portrait" r:id="rId1"/>
  <headerFooter>
    <oddHeader>&amp;L&amp;"Arial"&amp;8&amp;K000000 INTERNAL&amp;1#_x000D_&amp;C&amp;"VW Headline OT-Black,Standard"&amp;28&amp;K00-035VOLKSWAGEN&amp;26&amp;K00-005
&amp;11&amp;K00-035AKTIENGESELLSCHAFT</oddHeader>
    <oddFooter>&amp;L&amp;9 2TP-Protokoll_Prozessabnahme und Leistungstest&amp;C&amp;P von &amp;N&amp;R&amp;9&amp;F</oddFooter>
  </headerFooter>
  <rowBreaks count="3" manualBreakCount="3">
    <brk id="43" max="16383" man="1"/>
    <brk id="75" max="16383" man="1"/>
    <brk id="96"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tabColor rgb="FF00B0F0"/>
    <pageSetUpPr fitToPage="1"/>
  </sheetPr>
  <dimension ref="A1:J134"/>
  <sheetViews>
    <sheetView zoomScale="90" zoomScaleNormal="90" zoomScaleSheetLayoutView="100" zoomScalePageLayoutView="110" workbookViewId="0">
      <selection activeCell="D6" sqref="D6"/>
    </sheetView>
  </sheetViews>
  <sheetFormatPr baseColWidth="10" defaultColWidth="0" defaultRowHeight="27" customHeight="1" x14ac:dyDescent="0.25"/>
  <cols>
    <col min="1" max="1" width="2.21875" style="6" customWidth="1"/>
    <col min="2" max="2" width="3.44140625" style="6" customWidth="1"/>
    <col min="3" max="3" width="24.44140625" style="193" customWidth="1"/>
    <col min="4" max="4" width="20.21875" style="193" customWidth="1"/>
    <col min="5" max="5" width="21.21875" style="193" customWidth="1"/>
    <col min="6" max="6" width="22.21875" style="193" customWidth="1"/>
    <col min="7" max="7" width="23.44140625" style="193" customWidth="1"/>
    <col min="8" max="8" width="19.77734375" style="193" customWidth="1"/>
    <col min="9" max="9" width="4.21875" style="194" customWidth="1"/>
    <col min="10" max="10" width="2.21875" style="6" customWidth="1"/>
    <col min="11" max="16384" width="12.44140625" style="193" hidden="1"/>
  </cols>
  <sheetData>
    <row r="1" spans="2:9" s="6" customFormat="1" ht="13.8" thickBot="1" x14ac:dyDescent="0.3"/>
    <row r="2" spans="2:9" s="6" customFormat="1" ht="44.25" customHeight="1" x14ac:dyDescent="0.25">
      <c r="B2" s="7"/>
      <c r="C2" s="882" t="s">
        <v>44</v>
      </c>
      <c r="D2" s="882"/>
      <c r="E2" s="882"/>
      <c r="F2" s="882"/>
      <c r="G2" s="882"/>
      <c r="H2" s="882"/>
      <c r="I2" s="8"/>
    </row>
    <row r="3" spans="2:9" s="6" customFormat="1" ht="9" customHeight="1" x14ac:dyDescent="0.25">
      <c r="B3" s="9"/>
      <c r="C3" s="883"/>
      <c r="D3" s="883"/>
      <c r="E3" s="883"/>
      <c r="F3" s="883"/>
      <c r="G3" s="883"/>
      <c r="H3" s="883"/>
      <c r="I3" s="10"/>
    </row>
    <row r="4" spans="2:9" s="11" customFormat="1" ht="33.75" customHeight="1" x14ac:dyDescent="0.25">
      <c r="B4" s="9"/>
      <c r="C4" s="620" t="s">
        <v>45</v>
      </c>
      <c r="D4" s="621"/>
      <c r="E4" s="621"/>
      <c r="F4" s="621"/>
      <c r="G4" s="621"/>
      <c r="H4" s="622"/>
      <c r="I4" s="10"/>
    </row>
    <row r="5" spans="2:9" s="6" customFormat="1" ht="10.5" customHeight="1" x14ac:dyDescent="0.25">
      <c r="B5" s="9"/>
      <c r="C5" s="12"/>
      <c r="D5" s="13"/>
      <c r="E5" s="13"/>
      <c r="F5" s="13"/>
      <c r="G5" s="13"/>
      <c r="H5" s="14"/>
      <c r="I5" s="15"/>
    </row>
    <row r="6" spans="2:9" s="11" customFormat="1" ht="19.5" customHeight="1" x14ac:dyDescent="0.25">
      <c r="B6" s="9"/>
      <c r="C6" s="16" t="s">
        <v>35</v>
      </c>
      <c r="D6" s="3">
        <v>43584</v>
      </c>
      <c r="E6" s="16" t="s">
        <v>46</v>
      </c>
      <c r="F6" s="3" t="s">
        <v>47</v>
      </c>
      <c r="G6" s="1" t="s">
        <v>38</v>
      </c>
      <c r="H6" s="3" t="s">
        <v>48</v>
      </c>
      <c r="I6" s="17"/>
    </row>
    <row r="7" spans="2:9" s="11" customFormat="1" ht="19.5" customHeight="1" x14ac:dyDescent="0.25">
      <c r="B7" s="9"/>
      <c r="C7" s="16" t="s">
        <v>39</v>
      </c>
      <c r="D7" s="884" t="s">
        <v>49</v>
      </c>
      <c r="E7" s="885"/>
      <c r="F7" s="885"/>
      <c r="G7" s="885"/>
      <c r="H7" s="886"/>
      <c r="I7" s="18"/>
    </row>
    <row r="8" spans="2:9" s="11" customFormat="1" ht="31.5" customHeight="1" x14ac:dyDescent="0.25">
      <c r="B8" s="9"/>
      <c r="C8" s="1" t="s">
        <v>40</v>
      </c>
      <c r="D8" s="4" t="s">
        <v>50</v>
      </c>
      <c r="E8" s="1" t="s">
        <v>41</v>
      </c>
      <c r="F8" s="4" t="s">
        <v>51</v>
      </c>
      <c r="G8" s="1" t="s">
        <v>42</v>
      </c>
      <c r="H8" s="5">
        <v>36408695</v>
      </c>
      <c r="I8" s="18"/>
    </row>
    <row r="9" spans="2:9" s="6" customFormat="1" ht="12" customHeight="1" thickBot="1" x14ac:dyDescent="0.3">
      <c r="B9" s="9"/>
      <c r="C9" s="887"/>
      <c r="D9" s="887"/>
      <c r="E9" s="887"/>
      <c r="F9" s="887"/>
      <c r="G9" s="887"/>
      <c r="H9" s="887"/>
      <c r="I9" s="10"/>
    </row>
    <row r="10" spans="2:9" s="11" customFormat="1" ht="21.75" customHeight="1" thickTop="1" x14ac:dyDescent="0.25">
      <c r="B10" s="9"/>
      <c r="C10" s="888" t="s">
        <v>52</v>
      </c>
      <c r="D10" s="889"/>
      <c r="E10" s="889"/>
      <c r="F10" s="889"/>
      <c r="G10" s="889"/>
      <c r="H10" s="890"/>
      <c r="I10" s="19"/>
    </row>
    <row r="11" spans="2:9" s="6" customFormat="1" ht="9" customHeight="1" x14ac:dyDescent="0.25">
      <c r="B11" s="9"/>
      <c r="C11" s="865"/>
      <c r="D11" s="866"/>
      <c r="E11" s="866"/>
      <c r="F11" s="866"/>
      <c r="G11" s="866"/>
      <c r="H11" s="867"/>
      <c r="I11" s="20"/>
    </row>
    <row r="12" spans="2:9" s="11" customFormat="1" ht="39" customHeight="1" x14ac:dyDescent="0.25">
      <c r="B12" s="9"/>
      <c r="C12" s="21" t="s">
        <v>53</v>
      </c>
      <c r="D12" s="868" t="s">
        <v>54</v>
      </c>
      <c r="E12" s="869"/>
      <c r="F12" s="869"/>
      <c r="G12" s="869"/>
      <c r="H12" s="870"/>
      <c r="I12" s="22"/>
    </row>
    <row r="13" spans="2:9" s="11" customFormat="1" ht="47.25" customHeight="1" x14ac:dyDescent="0.25">
      <c r="B13" s="9"/>
      <c r="C13" s="21" t="s">
        <v>55</v>
      </c>
      <c r="D13" s="868" t="s">
        <v>56</v>
      </c>
      <c r="E13" s="869"/>
      <c r="F13" s="869"/>
      <c r="G13" s="869"/>
      <c r="H13" s="870"/>
      <c r="I13" s="23"/>
    </row>
    <row r="14" spans="2:9" s="11" customFormat="1" ht="15" customHeight="1" x14ac:dyDescent="0.25">
      <c r="B14" s="9"/>
      <c r="C14" s="871" t="s">
        <v>57</v>
      </c>
      <c r="D14" s="872"/>
      <c r="E14" s="872"/>
      <c r="F14" s="872"/>
      <c r="G14" s="872"/>
      <c r="H14" s="873"/>
      <c r="I14" s="10"/>
    </row>
    <row r="15" spans="2:9" s="11" customFormat="1" ht="26.25" customHeight="1" x14ac:dyDescent="0.25">
      <c r="B15" s="9"/>
      <c r="C15" s="874" t="s">
        <v>58</v>
      </c>
      <c r="D15" s="876" t="s">
        <v>59</v>
      </c>
      <c r="E15" s="877"/>
      <c r="F15" s="878"/>
      <c r="G15" s="24" t="s">
        <v>60</v>
      </c>
      <c r="H15" s="25">
        <v>43617</v>
      </c>
      <c r="I15" s="26"/>
    </row>
    <row r="16" spans="2:9" s="11" customFormat="1" ht="22.5" customHeight="1" x14ac:dyDescent="0.25">
      <c r="B16" s="9"/>
      <c r="C16" s="875"/>
      <c r="D16" s="27" t="s">
        <v>61</v>
      </c>
      <c r="E16" s="879" t="s">
        <v>62</v>
      </c>
      <c r="F16" s="880"/>
      <c r="G16" s="879" t="s">
        <v>63</v>
      </c>
      <c r="H16" s="881"/>
      <c r="I16" s="26"/>
    </row>
    <row r="17" spans="2:9" s="11" customFormat="1" ht="33.75" customHeight="1" x14ac:dyDescent="0.25">
      <c r="B17" s="9"/>
      <c r="C17" s="28" t="s">
        <v>58</v>
      </c>
      <c r="D17" s="891" t="s">
        <v>64</v>
      </c>
      <c r="E17" s="892"/>
      <c r="F17" s="892"/>
      <c r="G17" s="892"/>
      <c r="H17" s="893"/>
      <c r="I17" s="10"/>
    </row>
    <row r="18" spans="2:9" s="11" customFormat="1" ht="16.5" customHeight="1" x14ac:dyDescent="0.25">
      <c r="B18" s="9"/>
      <c r="C18" s="657" t="s">
        <v>65</v>
      </c>
      <c r="D18" s="658"/>
      <c r="E18" s="658"/>
      <c r="F18" s="658"/>
      <c r="G18" s="658"/>
      <c r="H18" s="659"/>
      <c r="I18" s="10"/>
    </row>
    <row r="19" spans="2:9" s="11" customFormat="1" ht="45" customHeight="1" thickBot="1" x14ac:dyDescent="0.3">
      <c r="B19" s="9"/>
      <c r="C19" s="29" t="s">
        <v>66</v>
      </c>
      <c r="D19" s="30">
        <f>D66</f>
        <v>14032.012499999997</v>
      </c>
      <c r="E19" s="31" t="s">
        <v>67</v>
      </c>
      <c r="F19" s="32">
        <f>F66</f>
        <v>15902.947499999998</v>
      </c>
      <c r="G19" s="33" t="s">
        <v>68</v>
      </c>
      <c r="H19" s="34" t="e">
        <f>IF(#REF!=0,"n.r.",#REF!)</f>
        <v>#REF!</v>
      </c>
      <c r="I19" s="10"/>
    </row>
    <row r="20" spans="2:9" s="11" customFormat="1" ht="10.5" customHeight="1" thickTop="1" thickBot="1" x14ac:dyDescent="0.3">
      <c r="B20" s="9"/>
      <c r="D20" s="35"/>
      <c r="E20" s="35"/>
      <c r="F20" s="36"/>
      <c r="G20" s="35"/>
      <c r="H20" s="35"/>
      <c r="I20" s="10"/>
    </row>
    <row r="21" spans="2:9" s="11" customFormat="1" ht="22.5" customHeight="1" thickTop="1" x14ac:dyDescent="0.25">
      <c r="B21" s="9"/>
      <c r="C21" s="888" t="s">
        <v>69</v>
      </c>
      <c r="D21" s="889"/>
      <c r="E21" s="889"/>
      <c r="F21" s="889"/>
      <c r="G21" s="889"/>
      <c r="H21" s="890"/>
      <c r="I21" s="10"/>
    </row>
    <row r="22" spans="2:9" s="11" customFormat="1" ht="135" customHeight="1" thickBot="1" x14ac:dyDescent="0.3">
      <c r="B22" s="9"/>
      <c r="C22" s="861" t="s">
        <v>70</v>
      </c>
      <c r="D22" s="862"/>
      <c r="E22" s="862"/>
      <c r="F22" s="862"/>
      <c r="G22" s="862"/>
      <c r="H22" s="863"/>
      <c r="I22" s="10"/>
    </row>
    <row r="23" spans="2:9" s="11" customFormat="1" ht="10.5" customHeight="1" thickTop="1" thickBot="1" x14ac:dyDescent="0.3">
      <c r="B23" s="9"/>
      <c r="C23" s="864"/>
      <c r="D23" s="864"/>
      <c r="E23" s="864"/>
      <c r="F23" s="864"/>
      <c r="G23" s="864"/>
      <c r="H23" s="864"/>
      <c r="I23" s="10"/>
    </row>
    <row r="24" spans="2:9" s="11" customFormat="1" ht="22.5" customHeight="1" x14ac:dyDescent="0.25">
      <c r="B24" s="9"/>
      <c r="C24" s="800" t="s">
        <v>71</v>
      </c>
      <c r="D24" s="801"/>
      <c r="E24" s="801"/>
      <c r="F24" s="801"/>
      <c r="G24" s="801"/>
      <c r="H24" s="802"/>
      <c r="I24" s="37"/>
    </row>
    <row r="25" spans="2:9" s="6" customFormat="1" ht="9" customHeight="1" x14ac:dyDescent="0.25">
      <c r="B25" s="9"/>
      <c r="C25" s="853"/>
      <c r="D25" s="854"/>
      <c r="E25" s="854"/>
      <c r="F25" s="854"/>
      <c r="G25" s="854"/>
      <c r="H25" s="855"/>
      <c r="I25" s="20"/>
    </row>
    <row r="26" spans="2:9" s="41" customFormat="1" ht="15" customHeight="1" x14ac:dyDescent="0.2">
      <c r="B26" s="38"/>
      <c r="C26" s="856" t="s">
        <v>72</v>
      </c>
      <c r="D26" s="857"/>
      <c r="E26" s="858" t="s">
        <v>73</v>
      </c>
      <c r="F26" s="857"/>
      <c r="G26" s="24" t="s">
        <v>74</v>
      </c>
      <c r="H26" s="39" t="s">
        <v>60</v>
      </c>
      <c r="I26" s="40"/>
    </row>
    <row r="27" spans="2:9" s="11" customFormat="1" ht="40.5" customHeight="1" x14ac:dyDescent="0.25">
      <c r="B27" s="9"/>
      <c r="C27" s="834" t="s">
        <v>75</v>
      </c>
      <c r="D27" s="835"/>
      <c r="E27" s="836" t="s">
        <v>76</v>
      </c>
      <c r="F27" s="835"/>
      <c r="G27" s="42" t="s">
        <v>77</v>
      </c>
      <c r="H27" s="43">
        <v>43800</v>
      </c>
      <c r="I27" s="44"/>
    </row>
    <row r="28" spans="2:9" s="11" customFormat="1" ht="40.5" customHeight="1" x14ac:dyDescent="0.25">
      <c r="B28" s="9"/>
      <c r="C28" s="834" t="s">
        <v>78</v>
      </c>
      <c r="D28" s="835"/>
      <c r="E28" s="836" t="s">
        <v>79</v>
      </c>
      <c r="F28" s="835"/>
      <c r="G28" s="42" t="s">
        <v>77</v>
      </c>
      <c r="H28" s="43">
        <v>43800</v>
      </c>
      <c r="I28" s="44"/>
    </row>
    <row r="29" spans="2:9" s="11" customFormat="1" ht="40.5" customHeight="1" x14ac:dyDescent="0.25">
      <c r="B29" s="9"/>
      <c r="C29" s="831"/>
      <c r="D29" s="832"/>
      <c r="E29" s="833"/>
      <c r="F29" s="832"/>
      <c r="G29" s="42"/>
      <c r="H29" s="43"/>
      <c r="I29" s="44"/>
    </row>
    <row r="30" spans="2:9" s="11" customFormat="1" ht="40.5" customHeight="1" x14ac:dyDescent="0.25">
      <c r="B30" s="9"/>
      <c r="C30" s="834"/>
      <c r="D30" s="835"/>
      <c r="E30" s="836"/>
      <c r="F30" s="835"/>
      <c r="G30" s="42"/>
      <c r="H30" s="43"/>
      <c r="I30" s="44"/>
    </row>
    <row r="31" spans="2:9" s="11" customFormat="1" ht="40.5" customHeight="1" thickBot="1" x14ac:dyDescent="0.3">
      <c r="B31" s="9"/>
      <c r="C31" s="837"/>
      <c r="D31" s="838"/>
      <c r="E31" s="839"/>
      <c r="F31" s="838"/>
      <c r="G31" s="45"/>
      <c r="H31" s="46"/>
      <c r="I31" s="44"/>
    </row>
    <row r="32" spans="2:9" s="11" customFormat="1" ht="10.5" customHeight="1" thickBot="1" x14ac:dyDescent="0.3">
      <c r="B32" s="9"/>
      <c r="C32" s="848"/>
      <c r="D32" s="848"/>
      <c r="E32" s="848"/>
      <c r="F32" s="848"/>
      <c r="G32" s="848"/>
      <c r="H32" s="848"/>
      <c r="I32" s="10"/>
    </row>
    <row r="33" spans="1:10" s="11" customFormat="1" ht="22.5" customHeight="1" x14ac:dyDescent="0.25">
      <c r="B33" s="9"/>
      <c r="C33" s="800" t="s">
        <v>80</v>
      </c>
      <c r="D33" s="801"/>
      <c r="E33" s="801"/>
      <c r="F33" s="801"/>
      <c r="G33" s="801"/>
      <c r="H33" s="802"/>
      <c r="I33" s="37"/>
    </row>
    <row r="34" spans="1:10" s="11" customFormat="1" ht="9" customHeight="1" x14ac:dyDescent="0.25">
      <c r="A34" s="6"/>
      <c r="B34" s="9"/>
      <c r="C34" s="785"/>
      <c r="D34" s="786"/>
      <c r="E34" s="786"/>
      <c r="F34" s="786"/>
      <c r="G34" s="786"/>
      <c r="H34" s="787"/>
      <c r="I34" s="10"/>
      <c r="J34" s="6"/>
    </row>
    <row r="35" spans="1:10" s="11" customFormat="1" ht="33.75" customHeight="1" thickBot="1" x14ac:dyDescent="0.3">
      <c r="A35" s="6"/>
      <c r="B35" s="9"/>
      <c r="C35" s="47" t="s">
        <v>81</v>
      </c>
      <c r="D35" s="48">
        <f>D36*48</f>
        <v>399984</v>
      </c>
      <c r="E35" s="70" t="s">
        <v>82</v>
      </c>
      <c r="F35" s="50">
        <f>D35*1.15</f>
        <v>459981.6</v>
      </c>
      <c r="G35" s="49" t="s">
        <v>83</v>
      </c>
      <c r="H35" s="51">
        <v>42848</v>
      </c>
      <c r="I35" s="52"/>
      <c r="J35" s="6"/>
    </row>
    <row r="36" spans="1:10" s="11" customFormat="1" ht="33.75" customHeight="1" thickBot="1" x14ac:dyDescent="0.3">
      <c r="A36" s="6"/>
      <c r="B36" s="9"/>
      <c r="C36" s="53" t="s">
        <v>84</v>
      </c>
      <c r="D36" s="54">
        <v>8333</v>
      </c>
      <c r="E36" s="75" t="s">
        <v>85</v>
      </c>
      <c r="F36" s="50">
        <f>F35/48</f>
        <v>9582.9499999999989</v>
      </c>
      <c r="G36" s="849" t="s">
        <v>86</v>
      </c>
      <c r="H36" s="851">
        <v>44013</v>
      </c>
      <c r="I36" s="52"/>
      <c r="J36" s="6"/>
    </row>
    <row r="37" spans="1:10" s="11" customFormat="1" ht="46.5" customHeight="1" thickBot="1" x14ac:dyDescent="0.3">
      <c r="A37" s="6"/>
      <c r="B37" s="9"/>
      <c r="C37" s="55" t="s">
        <v>87</v>
      </c>
      <c r="D37" s="56">
        <v>950</v>
      </c>
      <c r="E37" s="57" t="s">
        <v>88</v>
      </c>
      <c r="F37" s="58">
        <v>43101</v>
      </c>
      <c r="G37" s="850"/>
      <c r="H37" s="852"/>
      <c r="I37" s="10"/>
      <c r="J37" s="6"/>
    </row>
    <row r="38" spans="1:10" s="11" customFormat="1" ht="3.75" customHeight="1" x14ac:dyDescent="0.25">
      <c r="A38" s="6"/>
      <c r="B38" s="9"/>
      <c r="C38" s="824"/>
      <c r="D38" s="824"/>
      <c r="E38" s="824"/>
      <c r="F38" s="824"/>
      <c r="G38" s="824"/>
      <c r="H38" s="824"/>
      <c r="I38" s="10"/>
      <c r="J38" s="6"/>
    </row>
    <row r="39" spans="1:10" s="11" customFormat="1" ht="3" customHeight="1" x14ac:dyDescent="0.25">
      <c r="A39" s="6"/>
      <c r="B39" s="9"/>
      <c r="C39" s="59"/>
      <c r="D39" s="60"/>
      <c r="E39" s="60"/>
      <c r="F39" s="60"/>
      <c r="G39" s="60"/>
      <c r="H39" s="60"/>
      <c r="I39" s="10"/>
      <c r="J39" s="6"/>
    </row>
    <row r="40" spans="1:10" s="11" customFormat="1" ht="24" customHeight="1" x14ac:dyDescent="0.25">
      <c r="A40" s="6"/>
      <c r="B40" s="9"/>
      <c r="C40" s="59"/>
      <c r="D40" s="60"/>
      <c r="E40" s="60"/>
      <c r="F40" s="60"/>
      <c r="G40" s="60"/>
      <c r="H40" s="60"/>
      <c r="I40" s="10"/>
      <c r="J40" s="6"/>
    </row>
    <row r="41" spans="1:10" s="11" customFormat="1" ht="1.5" customHeight="1" thickBot="1" x14ac:dyDescent="0.3">
      <c r="A41" s="6"/>
      <c r="B41" s="9"/>
      <c r="C41" s="61"/>
      <c r="D41" s="62"/>
      <c r="E41" s="62"/>
      <c r="F41" s="62"/>
      <c r="G41" s="62"/>
      <c r="H41" s="62"/>
      <c r="I41" s="63"/>
      <c r="J41" s="6"/>
    </row>
    <row r="42" spans="1:10" s="11" customFormat="1" ht="6" customHeight="1" x14ac:dyDescent="0.25">
      <c r="A42" s="6"/>
      <c r="B42" s="9"/>
      <c r="C42" s="59"/>
      <c r="D42" s="60"/>
      <c r="E42" s="60"/>
      <c r="F42" s="60"/>
      <c r="G42" s="60"/>
      <c r="H42" s="60"/>
      <c r="I42" s="10"/>
      <c r="J42" s="6"/>
    </row>
    <row r="43" spans="1:10" s="11" customFormat="1" ht="6" customHeight="1" x14ac:dyDescent="0.25">
      <c r="A43" s="6"/>
      <c r="B43" s="9"/>
      <c r="C43" s="59"/>
      <c r="D43" s="60"/>
      <c r="E43" s="60"/>
      <c r="F43" s="60"/>
      <c r="G43" s="60"/>
      <c r="H43" s="60"/>
      <c r="I43" s="10"/>
      <c r="J43" s="6"/>
    </row>
    <row r="44" spans="1:10" s="11" customFormat="1" ht="8.25" customHeight="1" thickBot="1" x14ac:dyDescent="0.3">
      <c r="B44" s="64"/>
      <c r="C44" s="59"/>
      <c r="D44" s="59"/>
      <c r="E44" s="59"/>
      <c r="F44" s="59"/>
      <c r="G44" s="59"/>
      <c r="H44" s="59"/>
      <c r="I44" s="10"/>
    </row>
    <row r="45" spans="1:10" s="65" customFormat="1" ht="29.25" customHeight="1" x14ac:dyDescent="0.25">
      <c r="B45" s="66"/>
      <c r="C45" s="800" t="s">
        <v>89</v>
      </c>
      <c r="D45" s="859"/>
      <c r="E45" s="859"/>
      <c r="F45" s="860"/>
      <c r="G45" s="846" t="s">
        <v>90</v>
      </c>
      <c r="H45" s="847"/>
      <c r="I45" s="67"/>
    </row>
    <row r="46" spans="1:10" s="11" customFormat="1" ht="7.5" customHeight="1" x14ac:dyDescent="0.25">
      <c r="B46" s="9"/>
      <c r="C46" s="755"/>
      <c r="D46" s="756"/>
      <c r="E46" s="756"/>
      <c r="F46" s="756"/>
      <c r="G46" s="756"/>
      <c r="H46" s="757"/>
      <c r="I46" s="10"/>
    </row>
    <row r="47" spans="1:10" s="11" customFormat="1" ht="48" customHeight="1" x14ac:dyDescent="0.25">
      <c r="B47" s="9"/>
      <c r="C47" s="68" t="s">
        <v>91</v>
      </c>
      <c r="D47" s="69">
        <v>1</v>
      </c>
      <c r="E47" s="70" t="s">
        <v>92</v>
      </c>
      <c r="F47" s="69">
        <v>0.75</v>
      </c>
      <c r="G47" s="70" t="s">
        <v>93</v>
      </c>
      <c r="H47" s="71">
        <v>0.85</v>
      </c>
      <c r="I47" s="72"/>
    </row>
    <row r="48" spans="1:10" s="11" customFormat="1" ht="48" customHeight="1" x14ac:dyDescent="0.25">
      <c r="B48" s="9"/>
      <c r="C48" s="73" t="s">
        <v>94</v>
      </c>
      <c r="D48" s="74">
        <v>1</v>
      </c>
      <c r="E48" s="75" t="s">
        <v>95</v>
      </c>
      <c r="F48" s="74">
        <v>460</v>
      </c>
      <c r="G48" s="70" t="s">
        <v>96</v>
      </c>
      <c r="H48" s="76" t="s">
        <v>58</v>
      </c>
      <c r="I48" s="72"/>
    </row>
    <row r="49" spans="1:10" s="11" customFormat="1" ht="48.75" customHeight="1" x14ac:dyDescent="0.25">
      <c r="B49" s="9"/>
      <c r="C49" s="77" t="s">
        <v>97</v>
      </c>
      <c r="D49" s="78">
        <v>0.5</v>
      </c>
      <c r="E49" s="79" t="s">
        <v>98</v>
      </c>
      <c r="F49" s="69">
        <v>0.02</v>
      </c>
      <c r="G49" s="70" t="s">
        <v>99</v>
      </c>
      <c r="H49" s="51">
        <v>43831</v>
      </c>
      <c r="I49" s="72"/>
    </row>
    <row r="50" spans="1:10" s="11" customFormat="1" ht="57" customHeight="1" thickBot="1" x14ac:dyDescent="0.3">
      <c r="B50" s="9"/>
      <c r="C50" s="80" t="s">
        <v>100</v>
      </c>
      <c r="D50" s="81">
        <v>15</v>
      </c>
      <c r="E50" s="82" t="s">
        <v>101</v>
      </c>
      <c r="F50" s="81">
        <v>17</v>
      </c>
      <c r="G50" s="70" t="s">
        <v>102</v>
      </c>
      <c r="H50" s="76" t="s">
        <v>58</v>
      </c>
      <c r="I50" s="72"/>
    </row>
    <row r="51" spans="1:10" s="11" customFormat="1" ht="53.25" customHeight="1" thickBot="1" x14ac:dyDescent="0.3">
      <c r="B51" s="9"/>
      <c r="C51" s="83" t="s">
        <v>103</v>
      </c>
      <c r="D51" s="84">
        <f>D48*F48/D49*D50*H47*F47*D47*(100%-F49)</f>
        <v>8621.5499999999993</v>
      </c>
      <c r="E51" s="85" t="s">
        <v>104</v>
      </c>
      <c r="F51" s="86">
        <f>D48*F48/D49*F50*H47*F47*D47*(100%-F49)</f>
        <v>9771.09</v>
      </c>
      <c r="G51" s="87" t="s">
        <v>105</v>
      </c>
      <c r="H51" s="88">
        <v>43831</v>
      </c>
      <c r="I51" s="72"/>
    </row>
    <row r="52" spans="1:10" s="11" customFormat="1" ht="52.5" customHeight="1" thickBot="1" x14ac:dyDescent="0.3">
      <c r="B52" s="9"/>
      <c r="C52" s="89" t="s">
        <v>106</v>
      </c>
      <c r="D52" s="840" t="s">
        <v>107</v>
      </c>
      <c r="E52" s="841"/>
      <c r="F52" s="841"/>
      <c r="G52" s="841"/>
      <c r="H52" s="842"/>
      <c r="I52" s="72"/>
    </row>
    <row r="53" spans="1:10" s="11" customFormat="1" ht="9" customHeight="1" x14ac:dyDescent="0.25">
      <c r="B53" s="9"/>
      <c r="C53" s="59"/>
      <c r="D53" s="60"/>
      <c r="E53" s="60"/>
      <c r="F53" s="60"/>
      <c r="G53" s="60"/>
      <c r="H53" s="60"/>
      <c r="I53" s="72"/>
    </row>
    <row r="54" spans="1:10" s="11" customFormat="1" ht="6.75" customHeight="1" thickBot="1" x14ac:dyDescent="0.3">
      <c r="A54" s="6"/>
      <c r="B54" s="9"/>
      <c r="C54" s="61"/>
      <c r="D54" s="61"/>
      <c r="E54" s="61"/>
      <c r="F54" s="61"/>
      <c r="G54" s="61"/>
      <c r="H54" s="61"/>
      <c r="I54" s="10"/>
      <c r="J54" s="6"/>
    </row>
    <row r="55" spans="1:10" s="11" customFormat="1" ht="28.5" customHeight="1" x14ac:dyDescent="0.25">
      <c r="A55" s="6"/>
      <c r="B55" s="9"/>
      <c r="C55" s="843" t="s">
        <v>108</v>
      </c>
      <c r="D55" s="844"/>
      <c r="E55" s="844"/>
      <c r="F55" s="845"/>
      <c r="G55" s="846" t="s">
        <v>90</v>
      </c>
      <c r="H55" s="847"/>
      <c r="I55" s="37"/>
      <c r="J55" s="6"/>
    </row>
    <row r="56" spans="1:10" s="11" customFormat="1" ht="9" customHeight="1" x14ac:dyDescent="0.25">
      <c r="A56" s="6"/>
      <c r="B56" s="9"/>
      <c r="C56" s="785"/>
      <c r="D56" s="786"/>
      <c r="E56" s="786"/>
      <c r="F56" s="786"/>
      <c r="G56" s="786"/>
      <c r="H56" s="787"/>
      <c r="I56" s="10"/>
      <c r="J56" s="6"/>
    </row>
    <row r="57" spans="1:10" s="11" customFormat="1" ht="60" customHeight="1" x14ac:dyDescent="0.25">
      <c r="A57" s="6"/>
      <c r="B57" s="9"/>
      <c r="C57" s="90" t="s">
        <v>109</v>
      </c>
      <c r="D57" s="74">
        <v>1</v>
      </c>
      <c r="E57" s="91" t="s">
        <v>110</v>
      </c>
      <c r="F57" s="74">
        <v>300</v>
      </c>
      <c r="G57" s="91" t="s">
        <v>111</v>
      </c>
      <c r="H57" s="92">
        <v>975</v>
      </c>
      <c r="I57" s="93"/>
      <c r="J57" s="6"/>
    </row>
    <row r="58" spans="1:10" s="11" customFormat="1" ht="61.5" customHeight="1" x14ac:dyDescent="0.25">
      <c r="A58" s="6"/>
      <c r="B58" s="9"/>
      <c r="C58" s="73" t="s">
        <v>112</v>
      </c>
      <c r="D58" s="50">
        <f>H57-F58-H58</f>
        <v>957</v>
      </c>
      <c r="E58" s="91" t="s">
        <v>113</v>
      </c>
      <c r="F58" s="74">
        <v>8</v>
      </c>
      <c r="G58" s="91" t="s">
        <v>114</v>
      </c>
      <c r="H58" s="94">
        <v>10</v>
      </c>
      <c r="I58" s="93"/>
      <c r="J58" s="6"/>
    </row>
    <row r="59" spans="1:10" s="11" customFormat="1" ht="53.25" customHeight="1" thickBot="1" x14ac:dyDescent="0.3">
      <c r="A59" s="6"/>
      <c r="B59" s="9"/>
      <c r="C59" s="95" t="s">
        <v>115</v>
      </c>
      <c r="D59" s="96">
        <f>D58+F58</f>
        <v>965</v>
      </c>
      <c r="E59" s="97" t="s">
        <v>116</v>
      </c>
      <c r="F59" s="98">
        <f>D58/H57</f>
        <v>0.98153846153846158</v>
      </c>
      <c r="G59" s="97" t="s">
        <v>117</v>
      </c>
      <c r="H59" s="99">
        <f>H58/H57</f>
        <v>1.0256410256410256E-2</v>
      </c>
      <c r="I59" s="93"/>
      <c r="J59" s="6"/>
    </row>
    <row r="60" spans="1:10" s="11" customFormat="1" ht="18" customHeight="1" thickBot="1" x14ac:dyDescent="0.3">
      <c r="A60" s="6"/>
      <c r="B60" s="9"/>
      <c r="C60" s="100"/>
      <c r="D60" s="101"/>
      <c r="E60" s="100"/>
      <c r="F60" s="102"/>
      <c r="G60" s="100"/>
      <c r="H60" s="103"/>
      <c r="I60" s="104"/>
      <c r="J60" s="6"/>
    </row>
    <row r="61" spans="1:10" s="11" customFormat="1" ht="30" customHeight="1" x14ac:dyDescent="0.25">
      <c r="A61" s="6"/>
      <c r="B61" s="9"/>
      <c r="C61" s="800" t="s">
        <v>118</v>
      </c>
      <c r="D61" s="801"/>
      <c r="E61" s="801"/>
      <c r="F61" s="801"/>
      <c r="G61" s="801"/>
      <c r="H61" s="802"/>
      <c r="I61" s="93"/>
      <c r="J61" s="6"/>
    </row>
    <row r="62" spans="1:10" s="11" customFormat="1" ht="9" customHeight="1" thickBot="1" x14ac:dyDescent="0.3">
      <c r="A62" s="6"/>
      <c r="B62" s="9"/>
      <c r="C62" s="785"/>
      <c r="D62" s="786"/>
      <c r="E62" s="786"/>
      <c r="F62" s="786"/>
      <c r="G62" s="786"/>
      <c r="H62" s="787"/>
      <c r="I62" s="10"/>
      <c r="J62" s="6"/>
    </row>
    <row r="63" spans="1:10" s="11" customFormat="1" ht="32.25" hidden="1" customHeight="1" x14ac:dyDescent="0.25">
      <c r="B63" s="9"/>
      <c r="C63" s="110" t="s">
        <v>212</v>
      </c>
      <c r="D63" s="111"/>
      <c r="E63" s="111"/>
      <c r="F63" s="112"/>
      <c r="G63" s="112"/>
      <c r="H63" s="113" t="s">
        <v>213</v>
      </c>
      <c r="I63" s="104"/>
      <c r="J63" s="11" t="s">
        <v>214</v>
      </c>
    </row>
    <row r="64" spans="1:10" s="11" customFormat="1" ht="36.75" hidden="1" customHeight="1" x14ac:dyDescent="0.25">
      <c r="B64" s="9"/>
      <c r="C64" s="119" t="s">
        <v>215</v>
      </c>
      <c r="D64" s="120"/>
      <c r="E64" s="121" t="s">
        <v>216</v>
      </c>
      <c r="F64" s="122">
        <f>IF($H$63="x",((($D$58/$D$57)*$D$48)/$F$57*$F$48*$D$50*$D$47*$F$47*$H$47),"n.b.")</f>
        <v>14032.012499999997</v>
      </c>
      <c r="G64" s="121" t="s">
        <v>217</v>
      </c>
      <c r="H64" s="122">
        <f>IF($H$63="x",(($D$58/$D$57*$D$48)/$F$57*$F$48*$F$50*$D$47*$F$47*$H$47),"n.b.")</f>
        <v>15902.947499999998</v>
      </c>
      <c r="I64" s="93"/>
      <c r="J64" s="11" t="s">
        <v>214</v>
      </c>
    </row>
    <row r="65" spans="2:10" s="11" customFormat="1" ht="33" hidden="1" customHeight="1" thickBot="1" x14ac:dyDescent="0.3">
      <c r="B65" s="9"/>
      <c r="C65" s="803" t="s">
        <v>218</v>
      </c>
      <c r="D65" s="804"/>
      <c r="E65" s="804"/>
      <c r="F65" s="804"/>
      <c r="G65" s="804"/>
      <c r="H65" s="805"/>
      <c r="I65" s="10"/>
      <c r="J65" s="11" t="s">
        <v>214</v>
      </c>
    </row>
    <row r="66" spans="2:10" s="11" customFormat="1" ht="65.25" customHeight="1" thickBot="1" x14ac:dyDescent="0.3">
      <c r="B66" s="9"/>
      <c r="C66" s="123" t="s">
        <v>66</v>
      </c>
      <c r="D66" s="124">
        <f>IF(H64="n.b.",#REF!,F64)</f>
        <v>14032.012499999997</v>
      </c>
      <c r="E66" s="125" t="s">
        <v>67</v>
      </c>
      <c r="F66" s="126">
        <f>IF(H64="n.b.",#REF!,H64)</f>
        <v>15902.947499999998</v>
      </c>
      <c r="G66" s="127" t="s">
        <v>119</v>
      </c>
      <c r="H66" s="128">
        <f>D36</f>
        <v>8333</v>
      </c>
      <c r="I66" s="129"/>
    </row>
    <row r="67" spans="2:10" s="11" customFormat="1" ht="81.75" customHeight="1" thickBot="1" x14ac:dyDescent="0.3">
      <c r="B67" s="9"/>
      <c r="C67" s="130" t="s">
        <v>120</v>
      </c>
      <c r="D67" s="131"/>
      <c r="E67" s="132" t="s">
        <v>121</v>
      </c>
      <c r="F67" s="133" t="s">
        <v>58</v>
      </c>
      <c r="G67" s="91" t="s">
        <v>122</v>
      </c>
      <c r="H67" s="134"/>
      <c r="I67" s="93"/>
    </row>
    <row r="68" spans="2:10" s="11" customFormat="1" ht="17.25" customHeight="1" thickBot="1" x14ac:dyDescent="0.3">
      <c r="B68" s="9"/>
      <c r="C68" s="806" t="s">
        <v>123</v>
      </c>
      <c r="D68" s="807"/>
      <c r="E68" s="807"/>
      <c r="F68" s="807"/>
      <c r="G68" s="807"/>
      <c r="H68" s="808"/>
      <c r="I68" s="104"/>
    </row>
    <row r="69" spans="2:10" s="11" customFormat="1" ht="36" customHeight="1" thickBot="1" x14ac:dyDescent="0.3">
      <c r="B69" s="135"/>
      <c r="C69" s="809" t="s">
        <v>124</v>
      </c>
      <c r="D69" s="809"/>
      <c r="E69" s="809"/>
      <c r="F69" s="809"/>
      <c r="G69" s="809"/>
      <c r="H69" s="809"/>
      <c r="I69" s="136"/>
    </row>
    <row r="70" spans="2:10" s="11" customFormat="1" ht="6.75" customHeight="1" x14ac:dyDescent="0.25">
      <c r="B70" s="9"/>
      <c r="C70" s="137"/>
      <c r="D70" s="138"/>
      <c r="E70" s="139"/>
      <c r="F70" s="140"/>
      <c r="G70" s="140"/>
      <c r="H70" s="140"/>
      <c r="I70" s="93"/>
    </row>
    <row r="71" spans="2:10" s="11" customFormat="1" ht="0.75" customHeight="1" thickBot="1" x14ac:dyDescent="0.3">
      <c r="B71" s="9"/>
      <c r="C71" s="141"/>
      <c r="D71" s="142"/>
      <c r="E71" s="142"/>
      <c r="F71" s="142"/>
      <c r="G71" s="142"/>
      <c r="H71" s="142"/>
      <c r="I71" s="143"/>
    </row>
    <row r="72" spans="2:10" s="11" customFormat="1" ht="23.25" customHeight="1" x14ac:dyDescent="0.25">
      <c r="B72" s="9"/>
      <c r="C72" s="800" t="s">
        <v>125</v>
      </c>
      <c r="D72" s="810"/>
      <c r="E72" s="810"/>
      <c r="F72" s="810"/>
      <c r="G72" s="810"/>
      <c r="H72" s="811"/>
      <c r="I72" s="93"/>
    </row>
    <row r="73" spans="2:10" s="11" customFormat="1" ht="6" customHeight="1" x14ac:dyDescent="0.25">
      <c r="B73" s="9"/>
      <c r="C73" s="755"/>
      <c r="D73" s="756"/>
      <c r="E73" s="756"/>
      <c r="F73" s="756"/>
      <c r="G73" s="756"/>
      <c r="H73" s="757"/>
      <c r="I73" s="104"/>
    </row>
    <row r="74" spans="2:10" s="11" customFormat="1" ht="27.75" customHeight="1" x14ac:dyDescent="0.25">
      <c r="B74" s="9"/>
      <c r="C74" s="73" t="s">
        <v>126</v>
      </c>
      <c r="D74" s="144" t="s">
        <v>127</v>
      </c>
      <c r="E74" s="818" t="s">
        <v>128</v>
      </c>
      <c r="F74" s="774" t="s">
        <v>129</v>
      </c>
      <c r="G74" s="820"/>
      <c r="H74" s="821"/>
      <c r="I74" s="93"/>
    </row>
    <row r="75" spans="2:10" s="11" customFormat="1" ht="19.5" customHeight="1" x14ac:dyDescent="0.25">
      <c r="B75" s="9"/>
      <c r="C75" s="73" t="s">
        <v>130</v>
      </c>
      <c r="D75" s="144" t="s">
        <v>131</v>
      </c>
      <c r="E75" s="818"/>
      <c r="F75" s="774"/>
      <c r="G75" s="820"/>
      <c r="H75" s="821"/>
      <c r="I75" s="93"/>
    </row>
    <row r="76" spans="2:10" s="11" customFormat="1" ht="28.5" customHeight="1" x14ac:dyDescent="0.25">
      <c r="B76" s="9"/>
      <c r="C76" s="73" t="s">
        <v>132</v>
      </c>
      <c r="D76" s="145">
        <v>43678</v>
      </c>
      <c r="E76" s="825"/>
      <c r="F76" s="820"/>
      <c r="G76" s="820"/>
      <c r="H76" s="821"/>
      <c r="I76" s="104"/>
    </row>
    <row r="77" spans="2:10" s="11" customFormat="1" ht="6" customHeight="1" x14ac:dyDescent="0.25">
      <c r="B77" s="9"/>
      <c r="C77" s="815"/>
      <c r="D77" s="816"/>
      <c r="E77" s="816"/>
      <c r="F77" s="816"/>
      <c r="G77" s="816"/>
      <c r="H77" s="817"/>
      <c r="I77" s="93"/>
    </row>
    <row r="78" spans="2:10" s="11" customFormat="1" ht="30.75" customHeight="1" x14ac:dyDescent="0.25">
      <c r="B78" s="9"/>
      <c r="C78" s="73" t="s">
        <v>133</v>
      </c>
      <c r="D78" s="146" t="s">
        <v>58</v>
      </c>
      <c r="E78" s="818" t="s">
        <v>128</v>
      </c>
      <c r="F78" s="790" t="s">
        <v>134</v>
      </c>
      <c r="G78" s="826"/>
      <c r="H78" s="827"/>
      <c r="I78" s="93"/>
    </row>
    <row r="79" spans="2:10" s="11" customFormat="1" ht="27.75" customHeight="1" x14ac:dyDescent="0.25">
      <c r="B79" s="9"/>
      <c r="C79" s="73" t="s">
        <v>135</v>
      </c>
      <c r="D79" s="145">
        <v>43770</v>
      </c>
      <c r="E79" s="825"/>
      <c r="F79" s="828"/>
      <c r="G79" s="829"/>
      <c r="H79" s="830"/>
      <c r="I79" s="93"/>
    </row>
    <row r="80" spans="2:10" s="11" customFormat="1" ht="6" customHeight="1" x14ac:dyDescent="0.25">
      <c r="B80" s="9"/>
      <c r="C80" s="815"/>
      <c r="D80" s="816"/>
      <c r="E80" s="816"/>
      <c r="F80" s="816"/>
      <c r="G80" s="816"/>
      <c r="H80" s="817"/>
      <c r="I80" s="93"/>
    </row>
    <row r="81" spans="1:10" s="11" customFormat="1" ht="27.75" customHeight="1" x14ac:dyDescent="0.25">
      <c r="B81" s="9"/>
      <c r="C81" s="73" t="s">
        <v>136</v>
      </c>
      <c r="D81" s="146" t="s">
        <v>58</v>
      </c>
      <c r="E81" s="818" t="s">
        <v>128</v>
      </c>
      <c r="F81" s="774" t="s">
        <v>137</v>
      </c>
      <c r="G81" s="820"/>
      <c r="H81" s="821"/>
      <c r="I81" s="93"/>
    </row>
    <row r="82" spans="1:10" s="11" customFormat="1" ht="21" customHeight="1" thickBot="1" x14ac:dyDescent="0.3">
      <c r="B82" s="9"/>
      <c r="C82" s="95" t="s">
        <v>138</v>
      </c>
      <c r="D82" s="147">
        <v>43800</v>
      </c>
      <c r="E82" s="819"/>
      <c r="F82" s="822"/>
      <c r="G82" s="822"/>
      <c r="H82" s="823"/>
      <c r="I82" s="93"/>
    </row>
    <row r="83" spans="1:10" s="151" customFormat="1" ht="4.5" customHeight="1" x14ac:dyDescent="0.25">
      <c r="A83" s="148"/>
      <c r="B83" s="149"/>
      <c r="C83" s="824"/>
      <c r="D83" s="824"/>
      <c r="E83" s="824"/>
      <c r="F83" s="824"/>
      <c r="G83" s="824"/>
      <c r="H83" s="824"/>
      <c r="I83" s="150"/>
      <c r="J83" s="148"/>
    </row>
    <row r="84" spans="1:10" s="151" customFormat="1" ht="8.25" customHeight="1" thickBot="1" x14ac:dyDescent="0.3">
      <c r="A84" s="150"/>
      <c r="B84" s="148"/>
      <c r="C84" s="6"/>
      <c r="D84" s="6"/>
      <c r="E84" s="6"/>
      <c r="F84" s="6"/>
      <c r="G84" s="6"/>
      <c r="H84" s="6"/>
      <c r="I84" s="150"/>
      <c r="J84" s="150"/>
    </row>
    <row r="85" spans="1:10" s="151" customFormat="1" ht="25.5" customHeight="1" x14ac:dyDescent="0.25">
      <c r="A85" s="150"/>
      <c r="B85" s="148"/>
      <c r="C85" s="800" t="s">
        <v>139</v>
      </c>
      <c r="D85" s="801"/>
      <c r="E85" s="801"/>
      <c r="F85" s="152"/>
      <c r="G85" s="152"/>
      <c r="H85" s="153"/>
      <c r="I85" s="150"/>
      <c r="J85" s="150"/>
    </row>
    <row r="86" spans="1:10" s="151" customFormat="1" ht="6.75" customHeight="1" x14ac:dyDescent="0.25">
      <c r="A86" s="150"/>
      <c r="B86" s="148"/>
      <c r="C86" s="154"/>
      <c r="D86" s="155"/>
      <c r="E86" s="155"/>
      <c r="F86" s="155"/>
      <c r="G86" s="155"/>
      <c r="H86" s="156"/>
      <c r="I86" s="150"/>
      <c r="J86" s="150"/>
    </row>
    <row r="87" spans="1:10" s="151" customFormat="1" ht="23.25" customHeight="1" x14ac:dyDescent="0.25">
      <c r="A87" s="150"/>
      <c r="B87" s="161"/>
      <c r="C87" s="812" t="s">
        <v>140</v>
      </c>
      <c r="D87" s="813"/>
      <c r="E87" s="813"/>
      <c r="F87" s="814"/>
      <c r="G87" s="159" t="s">
        <v>141</v>
      </c>
      <c r="H87" s="160">
        <v>43508</v>
      </c>
      <c r="I87" s="150"/>
      <c r="J87" s="150"/>
    </row>
    <row r="88" spans="1:10" s="151" customFormat="1" ht="8.25" customHeight="1" x14ac:dyDescent="0.25">
      <c r="A88" s="150"/>
      <c r="B88" s="161"/>
      <c r="C88" s="785"/>
      <c r="D88" s="786"/>
      <c r="E88" s="786"/>
      <c r="F88" s="786"/>
      <c r="G88" s="786"/>
      <c r="H88" s="787"/>
      <c r="I88" s="150"/>
      <c r="J88" s="150"/>
    </row>
    <row r="89" spans="1:10" s="151" customFormat="1" ht="12.75" customHeight="1" x14ac:dyDescent="0.25">
      <c r="A89" s="150"/>
      <c r="B89" s="161"/>
      <c r="C89" s="788" t="s">
        <v>128</v>
      </c>
      <c r="D89" s="790" t="s">
        <v>142</v>
      </c>
      <c r="E89" s="791"/>
      <c r="F89" s="791"/>
      <c r="G89" s="791"/>
      <c r="H89" s="792"/>
      <c r="I89" s="150"/>
      <c r="J89" s="150"/>
    </row>
    <row r="90" spans="1:10" s="151" customFormat="1" ht="12.75" customHeight="1" thickBot="1" x14ac:dyDescent="0.3">
      <c r="A90" s="150"/>
      <c r="B90" s="161"/>
      <c r="C90" s="789"/>
      <c r="D90" s="793"/>
      <c r="E90" s="794"/>
      <c r="F90" s="794"/>
      <c r="G90" s="794"/>
      <c r="H90" s="795"/>
      <c r="I90" s="150"/>
      <c r="J90" s="150"/>
    </row>
    <row r="91" spans="1:10" s="151" customFormat="1" ht="8.25" customHeight="1" x14ac:dyDescent="0.25">
      <c r="A91" s="150"/>
      <c r="B91" s="148"/>
      <c r="C91" s="162"/>
      <c r="D91" s="142"/>
      <c r="E91" s="142"/>
      <c r="F91" s="142"/>
      <c r="G91" s="142"/>
      <c r="H91" s="142"/>
      <c r="I91" s="150"/>
      <c r="J91" s="150"/>
    </row>
    <row r="92" spans="1:10" s="151" customFormat="1" ht="3.75" customHeight="1" thickBot="1" x14ac:dyDescent="0.3">
      <c r="A92" s="150"/>
      <c r="B92" s="148"/>
      <c r="C92" s="796"/>
      <c r="D92" s="796"/>
      <c r="E92" s="796"/>
      <c r="F92" s="796"/>
      <c r="G92" s="796"/>
      <c r="H92" s="796"/>
      <c r="I92" s="150"/>
      <c r="J92" s="150"/>
    </row>
    <row r="93" spans="1:10" s="151" customFormat="1" ht="13.5" customHeight="1" thickBot="1" x14ac:dyDescent="0.3">
      <c r="A93" s="150"/>
      <c r="B93" s="148"/>
      <c r="C93" s="164"/>
      <c r="D93" s="165"/>
      <c r="E93" s="166"/>
      <c r="F93" s="167"/>
      <c r="G93" s="167"/>
      <c r="H93" s="167"/>
      <c r="I93" s="150"/>
      <c r="J93" s="150"/>
    </row>
    <row r="94" spans="1:10" s="151" customFormat="1" ht="27" customHeight="1" x14ac:dyDescent="0.25">
      <c r="A94" s="150"/>
      <c r="B94" s="148"/>
      <c r="C94" s="752" t="s">
        <v>143</v>
      </c>
      <c r="D94" s="753"/>
      <c r="E94" s="753"/>
      <c r="F94" s="753"/>
      <c r="G94" s="753"/>
      <c r="H94" s="754"/>
      <c r="I94" s="10"/>
      <c r="J94" s="150"/>
    </row>
    <row r="95" spans="1:10" s="11" customFormat="1" ht="7.5" customHeight="1" x14ac:dyDescent="0.25">
      <c r="A95" s="6"/>
      <c r="B95" s="9"/>
      <c r="C95" s="755"/>
      <c r="D95" s="756"/>
      <c r="E95" s="756"/>
      <c r="F95" s="756"/>
      <c r="G95" s="756"/>
      <c r="H95" s="757"/>
      <c r="I95" s="10"/>
      <c r="J95" s="150"/>
    </row>
    <row r="96" spans="1:10" s="11" customFormat="1" ht="23.25" customHeight="1" x14ac:dyDescent="0.25">
      <c r="A96" s="6"/>
      <c r="B96" s="9"/>
      <c r="C96" s="163" t="s">
        <v>37</v>
      </c>
      <c r="D96" s="797" t="s">
        <v>144</v>
      </c>
      <c r="E96" s="798"/>
      <c r="F96" s="798"/>
      <c r="G96" s="797" t="s">
        <v>145</v>
      </c>
      <c r="H96" s="799"/>
      <c r="I96" s="37"/>
      <c r="J96" s="150"/>
    </row>
    <row r="97" spans="1:10" s="11" customFormat="1" ht="20.25" customHeight="1" x14ac:dyDescent="0.25">
      <c r="A97" s="6"/>
      <c r="B97" s="9"/>
      <c r="C97" s="168" t="s">
        <v>146</v>
      </c>
      <c r="D97" s="779" t="s">
        <v>147</v>
      </c>
      <c r="E97" s="779"/>
      <c r="F97" s="779"/>
      <c r="G97" s="780">
        <v>42778</v>
      </c>
      <c r="H97" s="781"/>
      <c r="I97" s="10"/>
      <c r="J97" s="6"/>
    </row>
    <row r="98" spans="1:10" s="11" customFormat="1" ht="18.75" customHeight="1" x14ac:dyDescent="0.25">
      <c r="A98" s="6"/>
      <c r="B98" s="9"/>
      <c r="C98" s="168" t="s">
        <v>146</v>
      </c>
      <c r="D98" s="779" t="s">
        <v>148</v>
      </c>
      <c r="E98" s="779"/>
      <c r="F98" s="779"/>
      <c r="G98" s="780">
        <v>42778</v>
      </c>
      <c r="H98" s="781"/>
      <c r="I98" s="10"/>
      <c r="J98" s="6"/>
    </row>
    <row r="99" spans="1:10" s="11" customFormat="1" ht="22.5" customHeight="1" x14ac:dyDescent="0.25">
      <c r="A99" s="6"/>
      <c r="B99" s="9"/>
      <c r="C99" s="168"/>
      <c r="D99" s="779"/>
      <c r="E99" s="779"/>
      <c r="F99" s="779"/>
      <c r="G99" s="780"/>
      <c r="H99" s="781"/>
      <c r="I99" s="10"/>
      <c r="J99" s="6"/>
    </row>
    <row r="100" spans="1:10" s="11" customFormat="1" ht="20.25" customHeight="1" x14ac:dyDescent="0.25">
      <c r="B100" s="9"/>
      <c r="C100" s="168"/>
      <c r="D100" s="779"/>
      <c r="E100" s="779"/>
      <c r="F100" s="779"/>
      <c r="G100" s="780"/>
      <c r="H100" s="781"/>
      <c r="I100" s="10"/>
    </row>
    <row r="101" spans="1:10" s="11" customFormat="1" ht="19.5" customHeight="1" thickBot="1" x14ac:dyDescent="0.3">
      <c r="B101" s="9"/>
      <c r="C101" s="169"/>
      <c r="D101" s="782"/>
      <c r="E101" s="782"/>
      <c r="F101" s="782"/>
      <c r="G101" s="783"/>
      <c r="H101" s="784"/>
      <c r="I101" s="93"/>
    </row>
    <row r="102" spans="1:10" s="11" customFormat="1" ht="12.75" customHeight="1" thickBot="1" x14ac:dyDescent="0.3">
      <c r="B102" s="9"/>
      <c r="C102" s="778"/>
      <c r="D102" s="778"/>
      <c r="E102" s="778"/>
      <c r="F102" s="778"/>
      <c r="G102" s="778"/>
      <c r="H102" s="778"/>
      <c r="I102" s="93"/>
    </row>
    <row r="103" spans="1:10" s="11" customFormat="1" ht="30" customHeight="1" x14ac:dyDescent="0.25">
      <c r="B103" s="9"/>
      <c r="C103" s="752" t="s">
        <v>149</v>
      </c>
      <c r="D103" s="753"/>
      <c r="E103" s="753"/>
      <c r="F103" s="753"/>
      <c r="G103" s="753"/>
      <c r="H103" s="754"/>
      <c r="I103" s="93"/>
    </row>
    <row r="104" spans="1:10" s="11" customFormat="1" ht="9" customHeight="1" x14ac:dyDescent="0.25">
      <c r="B104" s="9"/>
      <c r="C104" s="755"/>
      <c r="D104" s="756"/>
      <c r="E104" s="756"/>
      <c r="F104" s="756"/>
      <c r="G104" s="756"/>
      <c r="H104" s="757"/>
      <c r="I104" s="10"/>
    </row>
    <row r="105" spans="1:10" s="11" customFormat="1" ht="27" customHeight="1" x14ac:dyDescent="0.25">
      <c r="B105" s="9"/>
      <c r="C105" s="170" t="s">
        <v>150</v>
      </c>
      <c r="D105" s="171" t="s">
        <v>36</v>
      </c>
      <c r="E105" s="172" t="s">
        <v>151</v>
      </c>
      <c r="F105" s="173" t="s">
        <v>150</v>
      </c>
      <c r="G105" s="171" t="s">
        <v>36</v>
      </c>
      <c r="H105" s="172" t="s">
        <v>151</v>
      </c>
      <c r="I105" s="93"/>
    </row>
    <row r="106" spans="1:10" s="11" customFormat="1" ht="19.5" customHeight="1" x14ac:dyDescent="0.25">
      <c r="B106" s="9"/>
      <c r="C106" s="174" t="s">
        <v>77</v>
      </c>
      <c r="D106" s="175" t="s">
        <v>152</v>
      </c>
      <c r="E106" s="176" t="s">
        <v>153</v>
      </c>
      <c r="F106" s="177"/>
      <c r="G106" s="178"/>
      <c r="H106" s="179"/>
      <c r="I106" s="10"/>
    </row>
    <row r="107" spans="1:10" s="11" customFormat="1" ht="20.25" customHeight="1" x14ac:dyDescent="0.25">
      <c r="B107" s="9"/>
      <c r="C107" s="174" t="s">
        <v>154</v>
      </c>
      <c r="D107" s="175" t="s">
        <v>155</v>
      </c>
      <c r="E107" s="176" t="s">
        <v>153</v>
      </c>
      <c r="F107" s="177"/>
      <c r="G107" s="178"/>
      <c r="H107" s="179"/>
      <c r="I107" s="93"/>
    </row>
    <row r="108" spans="1:10" s="11" customFormat="1" ht="18.75" customHeight="1" x14ac:dyDescent="0.25">
      <c r="B108" s="9"/>
      <c r="C108" s="174" t="s">
        <v>156</v>
      </c>
      <c r="D108" s="175" t="s">
        <v>157</v>
      </c>
      <c r="E108" s="176" t="s">
        <v>153</v>
      </c>
      <c r="F108" s="177"/>
      <c r="G108" s="178"/>
      <c r="H108" s="179"/>
      <c r="I108" s="93"/>
    </row>
    <row r="109" spans="1:10" s="11" customFormat="1" ht="18.75" customHeight="1" x14ac:dyDescent="0.25">
      <c r="B109" s="9"/>
      <c r="C109" s="174" t="s">
        <v>77</v>
      </c>
      <c r="D109" s="175" t="s">
        <v>158</v>
      </c>
      <c r="E109" s="176" t="s">
        <v>153</v>
      </c>
      <c r="F109" s="177"/>
      <c r="G109" s="178"/>
      <c r="H109" s="179"/>
      <c r="I109" s="10"/>
    </row>
    <row r="110" spans="1:10" s="11" customFormat="1" ht="18" customHeight="1" x14ac:dyDescent="0.25">
      <c r="B110" s="9"/>
      <c r="C110" s="174" t="s">
        <v>156</v>
      </c>
      <c r="D110" s="175" t="s">
        <v>159</v>
      </c>
      <c r="E110" s="176"/>
      <c r="F110" s="177"/>
      <c r="G110" s="178"/>
      <c r="H110" s="179"/>
      <c r="I110" s="37"/>
    </row>
    <row r="111" spans="1:10" s="11" customFormat="1" ht="20.25" customHeight="1" thickBot="1" x14ac:dyDescent="0.3">
      <c r="B111" s="9"/>
      <c r="C111" s="180" t="s">
        <v>156</v>
      </c>
      <c r="D111" s="181" t="s">
        <v>159</v>
      </c>
      <c r="E111" s="182" t="s">
        <v>160</v>
      </c>
      <c r="F111" s="183"/>
      <c r="G111" s="184"/>
      <c r="H111" s="185"/>
      <c r="I111" s="10"/>
    </row>
    <row r="112" spans="1:10" s="11" customFormat="1" ht="8.25" customHeight="1" x14ac:dyDescent="0.25">
      <c r="B112" s="9"/>
      <c r="C112" s="186"/>
      <c r="D112" s="186"/>
      <c r="E112" s="186"/>
      <c r="F112" s="186"/>
      <c r="G112" s="187"/>
      <c r="H112" s="187"/>
      <c r="I112" s="188"/>
    </row>
    <row r="113" spans="2:9" s="11" customFormat="1" ht="6.75" customHeight="1" x14ac:dyDescent="0.25">
      <c r="B113" s="9"/>
      <c r="C113" s="778"/>
      <c r="D113" s="778"/>
      <c r="E113" s="778"/>
      <c r="F113" s="778"/>
      <c r="G113" s="778"/>
      <c r="H113" s="778"/>
      <c r="I113" s="93"/>
    </row>
    <row r="114" spans="2:9" s="11" customFormat="1" ht="25.5" hidden="1" customHeight="1" x14ac:dyDescent="0.25">
      <c r="B114" s="9"/>
      <c r="C114" s="752" t="s">
        <v>207</v>
      </c>
      <c r="D114" s="753"/>
      <c r="E114" s="753"/>
      <c r="F114" s="753"/>
      <c r="G114" s="753"/>
      <c r="H114" s="754"/>
      <c r="I114" s="93"/>
    </row>
    <row r="115" spans="2:9" s="11" customFormat="1" ht="8.25" hidden="1" customHeight="1" x14ac:dyDescent="0.25">
      <c r="B115" s="9"/>
      <c r="C115" s="755"/>
      <c r="D115" s="756"/>
      <c r="E115" s="756"/>
      <c r="F115" s="756"/>
      <c r="G115" s="756"/>
      <c r="H115" s="757"/>
      <c r="I115" s="93"/>
    </row>
    <row r="116" spans="2:9" s="11" customFormat="1" ht="19.5" hidden="1" customHeight="1" x14ac:dyDescent="0.25">
      <c r="B116" s="9"/>
      <c r="C116" s="758" t="s">
        <v>208</v>
      </c>
      <c r="D116" s="760" t="s">
        <v>209</v>
      </c>
      <c r="E116" s="760"/>
      <c r="F116" s="760"/>
      <c r="G116" s="760"/>
      <c r="H116" s="761"/>
      <c r="I116" s="93"/>
    </row>
    <row r="117" spans="2:9" s="11" customFormat="1" ht="16.5" hidden="1" customHeight="1" x14ac:dyDescent="0.25">
      <c r="B117" s="9"/>
      <c r="C117" s="759"/>
      <c r="D117" s="760"/>
      <c r="E117" s="760"/>
      <c r="F117" s="760"/>
      <c r="G117" s="760"/>
      <c r="H117" s="761"/>
      <c r="I117" s="93"/>
    </row>
    <row r="118" spans="2:9" s="11" customFormat="1" ht="12.75" hidden="1" customHeight="1" x14ac:dyDescent="0.25">
      <c r="B118" s="9"/>
      <c r="C118" s="759"/>
      <c r="D118" s="760"/>
      <c r="E118" s="760"/>
      <c r="F118" s="760"/>
      <c r="G118" s="760"/>
      <c r="H118" s="761"/>
      <c r="I118" s="93"/>
    </row>
    <row r="119" spans="2:9" s="11" customFormat="1" ht="8.25" hidden="1" customHeight="1" x14ac:dyDescent="0.25">
      <c r="B119" s="9"/>
      <c r="C119" s="755"/>
      <c r="D119" s="756"/>
      <c r="E119" s="756"/>
      <c r="F119" s="756"/>
      <c r="G119" s="756"/>
      <c r="H119" s="757"/>
      <c r="I119" s="10"/>
    </row>
    <row r="120" spans="2:9" s="11" customFormat="1" ht="15.75" hidden="1" customHeight="1" x14ac:dyDescent="0.25">
      <c r="B120" s="9"/>
      <c r="C120" s="771" t="s">
        <v>210</v>
      </c>
      <c r="D120" s="774" t="s">
        <v>211</v>
      </c>
      <c r="E120" s="774"/>
      <c r="F120" s="774"/>
      <c r="G120" s="774"/>
      <c r="H120" s="775"/>
      <c r="I120" s="37"/>
    </row>
    <row r="121" spans="2:9" s="11" customFormat="1" ht="13.5" hidden="1" customHeight="1" x14ac:dyDescent="0.25">
      <c r="B121" s="9"/>
      <c r="C121" s="772"/>
      <c r="D121" s="774"/>
      <c r="E121" s="774"/>
      <c r="F121" s="774"/>
      <c r="G121" s="774"/>
      <c r="H121" s="775"/>
      <c r="I121" s="10"/>
    </row>
    <row r="122" spans="2:9" s="11" customFormat="1" ht="6.75" hidden="1" customHeight="1" thickBot="1" x14ac:dyDescent="0.3">
      <c r="B122" s="9"/>
      <c r="C122" s="773"/>
      <c r="D122" s="776"/>
      <c r="E122" s="776"/>
      <c r="F122" s="776"/>
      <c r="G122" s="776"/>
      <c r="H122" s="777"/>
      <c r="I122" s="188"/>
    </row>
    <row r="123" spans="2:9" s="11" customFormat="1" ht="14.25" hidden="1" customHeight="1" x14ac:dyDescent="0.25">
      <c r="B123" s="9"/>
      <c r="C123" s="765"/>
      <c r="D123" s="765"/>
      <c r="E123" s="765"/>
      <c r="F123" s="765"/>
      <c r="G123" s="765"/>
      <c r="H123" s="765"/>
      <c r="I123" s="189"/>
    </row>
    <row r="124" spans="2:9" s="11" customFormat="1" ht="77.25" customHeight="1" x14ac:dyDescent="0.25">
      <c r="B124" s="9"/>
      <c r="C124" s="766" t="s">
        <v>161</v>
      </c>
      <c r="D124" s="766"/>
      <c r="E124" s="766"/>
      <c r="F124" s="766"/>
      <c r="G124" s="766"/>
      <c r="H124" s="766"/>
      <c r="I124" s="189"/>
    </row>
    <row r="125" spans="2:9" s="11" customFormat="1" ht="7.5" customHeight="1" x14ac:dyDescent="0.25">
      <c r="B125" s="9"/>
      <c r="C125" s="142"/>
      <c r="D125" s="142"/>
      <c r="E125" s="142"/>
      <c r="F125" s="142"/>
      <c r="G125" s="142"/>
      <c r="H125" s="140"/>
      <c r="I125" s="189"/>
    </row>
    <row r="126" spans="2:9" s="11" customFormat="1" ht="7.5" customHeight="1" x14ac:dyDescent="0.25">
      <c r="B126" s="9"/>
      <c r="C126" s="142"/>
      <c r="D126" s="142"/>
      <c r="E126" s="142"/>
      <c r="F126" s="142"/>
      <c r="G126" s="142"/>
      <c r="H126" s="140"/>
      <c r="I126" s="189"/>
    </row>
    <row r="127" spans="2:9" s="11" customFormat="1" ht="24.75" customHeight="1" x14ac:dyDescent="0.25">
      <c r="B127" s="9"/>
      <c r="C127" s="190"/>
      <c r="D127" s="190"/>
      <c r="E127" s="140"/>
      <c r="F127" s="190"/>
      <c r="G127" s="190"/>
      <c r="H127" s="140"/>
      <c r="I127" s="189"/>
    </row>
    <row r="128" spans="2:9" s="11" customFormat="1" ht="14.25" customHeight="1" x14ac:dyDescent="0.25">
      <c r="B128" s="9"/>
      <c r="C128" s="767" t="s">
        <v>162</v>
      </c>
      <c r="D128" s="767"/>
      <c r="E128" s="140"/>
      <c r="F128" s="767" t="s">
        <v>163</v>
      </c>
      <c r="G128" s="767"/>
      <c r="H128" s="140"/>
      <c r="I128" s="189"/>
    </row>
    <row r="129" spans="2:9" s="11" customFormat="1" ht="9" customHeight="1" x14ac:dyDescent="0.25">
      <c r="B129" s="9"/>
      <c r="C129" s="142"/>
      <c r="D129" s="140"/>
      <c r="E129" s="140"/>
      <c r="F129" s="140"/>
      <c r="G129" s="140"/>
      <c r="H129" s="140"/>
      <c r="I129" s="10"/>
    </row>
    <row r="130" spans="2:9" s="11" customFormat="1" ht="3" customHeight="1" thickBot="1" x14ac:dyDescent="0.3">
      <c r="B130" s="9"/>
      <c r="C130" s="6"/>
      <c r="D130" s="6"/>
      <c r="E130" s="6"/>
      <c r="F130" s="6"/>
      <c r="G130" s="6"/>
      <c r="H130" s="6"/>
      <c r="I130" s="37"/>
    </row>
    <row r="131" spans="2:9" s="11" customFormat="1" ht="24" customHeight="1" thickBot="1" x14ac:dyDescent="0.3">
      <c r="B131" s="9"/>
      <c r="C131" s="191" t="s">
        <v>164</v>
      </c>
      <c r="D131" s="175"/>
      <c r="E131" s="768" t="s">
        <v>165</v>
      </c>
      <c r="F131" s="768"/>
      <c r="G131" s="769" t="s">
        <v>166</v>
      </c>
      <c r="H131" s="770"/>
      <c r="I131" s="10"/>
    </row>
    <row r="132" spans="2:9" s="11" customFormat="1" ht="9.75" customHeight="1" x14ac:dyDescent="0.25">
      <c r="B132" s="9"/>
      <c r="C132" s="762"/>
      <c r="D132" s="762"/>
      <c r="E132" s="762"/>
      <c r="F132" s="762"/>
      <c r="G132" s="762"/>
      <c r="H132" s="762"/>
      <c r="I132" s="72"/>
    </row>
    <row r="133" spans="2:9" s="11" customFormat="1" ht="3.75" customHeight="1" thickBot="1" x14ac:dyDescent="0.3">
      <c r="B133" s="135"/>
      <c r="C133" s="763"/>
      <c r="D133" s="763"/>
      <c r="E133" s="763"/>
      <c r="F133" s="763"/>
      <c r="G133" s="763"/>
      <c r="H133" s="763"/>
      <c r="I133" s="192"/>
    </row>
    <row r="134" spans="2:9" s="11" customFormat="1" ht="1.5" customHeight="1" x14ac:dyDescent="0.25">
      <c r="C134" s="764"/>
      <c r="D134" s="764"/>
      <c r="E134" s="764"/>
      <c r="F134" s="764"/>
      <c r="G134" s="764"/>
      <c r="H134" s="764"/>
    </row>
  </sheetData>
  <sheetProtection formatRows="0" insertRows="0" selectLockedCells="1"/>
  <mergeCells count="101">
    <mergeCell ref="C2:H2"/>
    <mergeCell ref="C3:H3"/>
    <mergeCell ref="C4:H4"/>
    <mergeCell ref="D7:H7"/>
    <mergeCell ref="C9:H9"/>
    <mergeCell ref="C10:H10"/>
    <mergeCell ref="D17:H17"/>
    <mergeCell ref="C18:H18"/>
    <mergeCell ref="C21:H21"/>
    <mergeCell ref="C22:H22"/>
    <mergeCell ref="C23:H23"/>
    <mergeCell ref="C24:H24"/>
    <mergeCell ref="C11:H11"/>
    <mergeCell ref="D12:H12"/>
    <mergeCell ref="D13:H13"/>
    <mergeCell ref="C14:H14"/>
    <mergeCell ref="C15:C16"/>
    <mergeCell ref="D15:F15"/>
    <mergeCell ref="E16:F16"/>
    <mergeCell ref="G16:H16"/>
    <mergeCell ref="C25:H25"/>
    <mergeCell ref="C26:D26"/>
    <mergeCell ref="E26:F26"/>
    <mergeCell ref="C27:D27"/>
    <mergeCell ref="E27:F27"/>
    <mergeCell ref="C28:D28"/>
    <mergeCell ref="E28:F28"/>
    <mergeCell ref="C45:F45"/>
    <mergeCell ref="G45:H45"/>
    <mergeCell ref="C46:H46"/>
    <mergeCell ref="C29:D29"/>
    <mergeCell ref="E29:F29"/>
    <mergeCell ref="C30:D30"/>
    <mergeCell ref="E30:F30"/>
    <mergeCell ref="C31:D31"/>
    <mergeCell ref="E31:F31"/>
    <mergeCell ref="D52:H52"/>
    <mergeCell ref="C55:F55"/>
    <mergeCell ref="G55:H55"/>
    <mergeCell ref="C32:H32"/>
    <mergeCell ref="C33:H33"/>
    <mergeCell ref="C34:H34"/>
    <mergeCell ref="G36:G37"/>
    <mergeCell ref="H36:H37"/>
    <mergeCell ref="C38:H38"/>
    <mergeCell ref="C56:H56"/>
    <mergeCell ref="C61:H61"/>
    <mergeCell ref="C65:H65"/>
    <mergeCell ref="C68:H68"/>
    <mergeCell ref="C69:H69"/>
    <mergeCell ref="C62:H62"/>
    <mergeCell ref="C72:H72"/>
    <mergeCell ref="C87:F87"/>
    <mergeCell ref="C80:H80"/>
    <mergeCell ref="E81:E82"/>
    <mergeCell ref="F81:H82"/>
    <mergeCell ref="C83:H83"/>
    <mergeCell ref="C85:E85"/>
    <mergeCell ref="C73:H73"/>
    <mergeCell ref="E74:E76"/>
    <mergeCell ref="F74:H76"/>
    <mergeCell ref="C77:H77"/>
    <mergeCell ref="E78:E79"/>
    <mergeCell ref="F78:H79"/>
    <mergeCell ref="C88:H88"/>
    <mergeCell ref="C89:C90"/>
    <mergeCell ref="D89:H90"/>
    <mergeCell ref="C92:H92"/>
    <mergeCell ref="C94:H94"/>
    <mergeCell ref="C95:H95"/>
    <mergeCell ref="D96:F96"/>
    <mergeCell ref="G96:H96"/>
    <mergeCell ref="D97:F97"/>
    <mergeCell ref="G97:H97"/>
    <mergeCell ref="C113:H113"/>
    <mergeCell ref="D98:F98"/>
    <mergeCell ref="G98:H98"/>
    <mergeCell ref="D99:F99"/>
    <mergeCell ref="G99:H99"/>
    <mergeCell ref="D100:F100"/>
    <mergeCell ref="G100:H100"/>
    <mergeCell ref="D101:F101"/>
    <mergeCell ref="G101:H101"/>
    <mergeCell ref="C102:H102"/>
    <mergeCell ref="C103:H103"/>
    <mergeCell ref="C104:H104"/>
    <mergeCell ref="C114:H114"/>
    <mergeCell ref="C115:H115"/>
    <mergeCell ref="C116:C118"/>
    <mergeCell ref="D116:H118"/>
    <mergeCell ref="C119:H119"/>
    <mergeCell ref="C132:H133"/>
    <mergeCell ref="C134:H134"/>
    <mergeCell ref="C123:H123"/>
    <mergeCell ref="C124:H124"/>
    <mergeCell ref="C128:D128"/>
    <mergeCell ref="F128:G128"/>
    <mergeCell ref="E131:F131"/>
    <mergeCell ref="G131:H131"/>
    <mergeCell ref="C120:C122"/>
    <mergeCell ref="D120:H122"/>
  </mergeCells>
  <conditionalFormatting sqref="C12">
    <cfRule type="iconSet" priority="33">
      <iconSet iconSet="3TrafficLights2">
        <cfvo type="percent" val="0"/>
        <cfvo type="percent" val="33"/>
        <cfvo type="percent" val="67"/>
      </iconSet>
    </cfRule>
  </conditionalFormatting>
  <conditionalFormatting sqref="C17:C19">
    <cfRule type="containsText" dxfId="61" priority="29" operator="containsText" text="Gelb">
      <formula>NOT(ISERROR(SEARCH("Gelb",C17)))</formula>
    </cfRule>
    <cfRule type="containsText" dxfId="60" priority="28" operator="containsText" text="Rot">
      <formula>NOT(ISERROR(SEARCH("Rot",C17)))</formula>
    </cfRule>
    <cfRule type="containsText" dxfId="59" priority="27" operator="containsText" text="Grün">
      <formula>NOT(ISERROR(SEARCH("Grün",C17)))</formula>
    </cfRule>
  </conditionalFormatting>
  <conditionalFormatting sqref="C67">
    <cfRule type="expression" dxfId="58" priority="16">
      <formula>$D$67="X"</formula>
    </cfRule>
  </conditionalFormatting>
  <conditionalFormatting sqref="D19">
    <cfRule type="cellIs" dxfId="57" priority="32" operator="lessThan">
      <formula>$D$36</formula>
    </cfRule>
    <cfRule type="cellIs" dxfId="56" priority="31" operator="greaterThanOrEqual">
      <formula>$D$36</formula>
    </cfRule>
    <cfRule type="containsText" dxfId="55" priority="30" operator="containsText" text="n.b.">
      <formula>NOT(ISERROR(SEARCH("n.b.",D19)))</formula>
    </cfRule>
  </conditionalFormatting>
  <conditionalFormatting sqref="D51">
    <cfRule type="cellIs" dxfId="54" priority="2" operator="greaterThanOrEqual">
      <formula>$D$36</formula>
    </cfRule>
    <cfRule type="cellIs" dxfId="53" priority="1" operator="lessThan">
      <formula>$D$36</formula>
    </cfRule>
  </conditionalFormatting>
  <conditionalFormatting sqref="D66">
    <cfRule type="cellIs" dxfId="52" priority="13" operator="lessThan">
      <formula>$D$36</formula>
    </cfRule>
    <cfRule type="cellIs" dxfId="51" priority="12" operator="greaterThanOrEqual">
      <formula>$D$36</formula>
    </cfRule>
    <cfRule type="containsText" dxfId="50" priority="11" operator="containsText" text="n.b.">
      <formula>NOT(ISERROR(SEARCH("n.b.",D66)))</formula>
    </cfRule>
  </conditionalFormatting>
  <conditionalFormatting sqref="E67">
    <cfRule type="expression" dxfId="49" priority="15">
      <formula>$F$67="X"</formula>
    </cfRule>
  </conditionalFormatting>
  <conditionalFormatting sqref="F19">
    <cfRule type="containsText" dxfId="48" priority="21" operator="containsText" text="n.b.">
      <formula>NOT(ISERROR(SEARCH("n.b.",F19)))</formula>
    </cfRule>
    <cfRule type="cellIs" dxfId="47" priority="22" operator="greaterThanOrEqual">
      <formula>$F$36</formula>
    </cfRule>
    <cfRule type="cellIs" dxfId="46" priority="23" operator="lessThan">
      <formula>$F$36</formula>
    </cfRule>
  </conditionalFormatting>
  <conditionalFormatting sqref="F51">
    <cfRule type="cellIs" dxfId="45" priority="3" operator="lessThan">
      <formula>$F$36</formula>
    </cfRule>
    <cfRule type="cellIs" dxfId="44" priority="4" operator="greaterThanOrEqual">
      <formula>$F$36</formula>
    </cfRule>
  </conditionalFormatting>
  <conditionalFormatting sqref="F64">
    <cfRule type="cellIs" dxfId="43" priority="19" operator="lessThan">
      <formula>$D$37</formula>
    </cfRule>
    <cfRule type="cellIs" dxfId="42" priority="20" operator="greaterThanOrEqual">
      <formula>$D$37</formula>
    </cfRule>
  </conditionalFormatting>
  <conditionalFormatting sqref="F66">
    <cfRule type="containsText" dxfId="41" priority="5" operator="containsText" text="n.b.">
      <formula>NOT(ISERROR(SEARCH("n.b.",F66)))</formula>
    </cfRule>
    <cfRule type="cellIs" dxfId="40" priority="6" operator="greaterThanOrEqual">
      <formula>$F$36</formula>
    </cfRule>
    <cfRule type="cellIs" dxfId="39" priority="7" operator="lessThan">
      <formula>$F$36</formula>
    </cfRule>
    <cfRule type="containsText" dxfId="38" priority="8" operator="containsText" text="n.b.">
      <formula>NOT(ISERROR(SEARCH("n.b.",F66)))</formula>
    </cfRule>
    <cfRule type="cellIs" dxfId="37" priority="9" operator="greaterThanOrEqual">
      <formula>$D$36</formula>
    </cfRule>
    <cfRule type="cellIs" dxfId="36" priority="10" operator="lessThan">
      <formula>$D$36</formula>
    </cfRule>
  </conditionalFormatting>
  <conditionalFormatting sqref="G67">
    <cfRule type="expression" dxfId="35" priority="14">
      <formula>$H$67="X"</formula>
    </cfRule>
  </conditionalFormatting>
  <conditionalFormatting sqref="H19">
    <cfRule type="containsText" dxfId="34" priority="24" operator="containsText" text="Red">
      <formula>NOT(ISERROR(SEARCH("Red",H19)))</formula>
    </cfRule>
    <cfRule type="containsText" dxfId="33" priority="25" operator="containsText" text="yellow">
      <formula>NOT(ISERROR(SEARCH("yellow",H19)))</formula>
    </cfRule>
    <cfRule type="containsText" dxfId="32" priority="26" operator="containsText" text="Green">
      <formula>NOT(ISERROR(SEARCH("Green",H19)))</formula>
    </cfRule>
  </conditionalFormatting>
  <conditionalFormatting sqref="H64">
    <cfRule type="cellIs" dxfId="31" priority="18" operator="greaterThanOrEqual">
      <formula>$D$37</formula>
    </cfRule>
    <cfRule type="cellIs" dxfId="30" priority="17" operator="lessThan">
      <formula>$D$37</formula>
    </cfRule>
  </conditionalFormatting>
  <pageMargins left="0.70866141732283472" right="0.70866141732283472" top="0.78740157480314965" bottom="0.59055118110236227" header="0.31496062992125984" footer="0.31496062992125984"/>
  <pageSetup paperSize="9" scale="66" fitToHeight="0" orientation="portrait" r:id="rId1"/>
  <headerFooter>
    <oddHeader>&amp;L&amp;"Arial"&amp;8&amp;K000000 INTERNAL&amp;1#_x000D_&amp;C&amp;"VW Headline OT-Black,Standard"&amp;28&amp;K969696VOLKSWAGEN&amp;K969696&amp;"-,Standard"&amp;11
&amp;K969696&amp;11&amp;"VW Headline OT-Black,Standard"AKTIENGESELLSCHAFT</oddHeader>
    <oddFooter>&amp;L&amp;9 2TP-certificate_Preliminary check&amp;C&amp;P of &amp;N&amp;R&amp;9&amp;F</oddFooter>
  </headerFooter>
  <rowBreaks count="2" manualBreakCount="2">
    <brk id="42" max="16383" man="1"/>
    <brk id="69" max="8"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tabColor rgb="FF0000FF"/>
    <pageSetUpPr fitToPage="1"/>
  </sheetPr>
  <dimension ref="A1:J375"/>
  <sheetViews>
    <sheetView zoomScale="90" zoomScaleNormal="90" zoomScaleSheetLayoutView="100" zoomScalePageLayoutView="60" workbookViewId="0">
      <selection activeCell="D6" sqref="D6"/>
    </sheetView>
  </sheetViews>
  <sheetFormatPr baseColWidth="10" defaultColWidth="0" defaultRowHeight="12.75" customHeight="1" zeroHeight="1" x14ac:dyDescent="0.25"/>
  <cols>
    <col min="1" max="1" width="2.21875" style="6" customWidth="1"/>
    <col min="2" max="2" width="3.44140625" style="6" customWidth="1"/>
    <col min="3" max="3" width="24.44140625" style="11" customWidth="1"/>
    <col min="4" max="4" width="20.21875" style="11" customWidth="1"/>
    <col min="5" max="5" width="21.21875" style="11" customWidth="1"/>
    <col min="6" max="6" width="22.21875" style="11" customWidth="1"/>
    <col min="7" max="7" width="23.44140625" style="11" customWidth="1"/>
    <col min="8" max="8" width="19.77734375" style="11" customWidth="1"/>
    <col min="9" max="9" width="4.21875" style="6" customWidth="1"/>
    <col min="10" max="10" width="3.77734375" style="194" customWidth="1"/>
    <col min="11" max="16384" width="12.44140625" style="193" hidden="1"/>
  </cols>
  <sheetData>
    <row r="1" spans="1:10" s="194" customFormat="1" ht="13.8" thickBot="1" x14ac:dyDescent="0.3">
      <c r="A1" s="6"/>
      <c r="B1" s="6"/>
      <c r="C1" s="6"/>
      <c r="D1" s="6"/>
      <c r="E1" s="6"/>
      <c r="F1" s="6"/>
      <c r="G1" s="6"/>
      <c r="H1" s="6"/>
      <c r="I1" s="6"/>
    </row>
    <row r="2" spans="1:10" s="194" customFormat="1" ht="44.25" customHeight="1" x14ac:dyDescent="0.25">
      <c r="A2" s="6"/>
      <c r="B2" s="7"/>
      <c r="C2" s="882" t="s">
        <v>167</v>
      </c>
      <c r="D2" s="942"/>
      <c r="E2" s="942"/>
      <c r="F2" s="942"/>
      <c r="G2" s="942"/>
      <c r="H2" s="942"/>
      <c r="I2" s="8"/>
    </row>
    <row r="3" spans="1:10" s="194" customFormat="1" ht="9" customHeight="1" x14ac:dyDescent="0.25">
      <c r="A3" s="6"/>
      <c r="B3" s="9"/>
      <c r="C3" s="778"/>
      <c r="D3" s="778"/>
      <c r="E3" s="778"/>
      <c r="F3" s="778"/>
      <c r="G3" s="778"/>
      <c r="H3" s="778"/>
      <c r="I3" s="10"/>
    </row>
    <row r="4" spans="1:10" ht="33.75" customHeight="1" x14ac:dyDescent="0.25">
      <c r="A4" s="11"/>
      <c r="B4" s="9"/>
      <c r="C4" s="195" t="s">
        <v>58</v>
      </c>
      <c r="D4" s="943" t="s">
        <v>168</v>
      </c>
      <c r="E4" s="944"/>
      <c r="F4" s="196"/>
      <c r="G4" s="943" t="s">
        <v>169</v>
      </c>
      <c r="H4" s="944"/>
      <c r="I4" s="10"/>
      <c r="J4" s="193"/>
    </row>
    <row r="5" spans="1:10" s="194" customFormat="1" ht="10.5" customHeight="1" x14ac:dyDescent="0.25">
      <c r="A5" s="6"/>
      <c r="B5" s="9"/>
      <c r="C5" s="12"/>
      <c r="D5" s="13"/>
      <c r="E5" s="13"/>
      <c r="F5" s="13"/>
      <c r="G5" s="13"/>
      <c r="H5" s="14"/>
      <c r="I5" s="15"/>
    </row>
    <row r="6" spans="1:10" ht="19.5" customHeight="1" x14ac:dyDescent="0.25">
      <c r="A6" s="11"/>
      <c r="B6" s="9"/>
      <c r="C6" s="1" t="s">
        <v>35</v>
      </c>
      <c r="D6" s="2">
        <v>43800</v>
      </c>
      <c r="E6" s="1" t="s">
        <v>37</v>
      </c>
      <c r="F6" s="3" t="str">
        <f>'Acc. certificate PCA1 pre-check'!F6</f>
        <v xml:space="preserve"> 11B/C 941 005 / 006</v>
      </c>
      <c r="G6" s="1" t="s">
        <v>38</v>
      </c>
      <c r="H6" s="3" t="str">
        <f>'Acc. certificate PCA1 pre-check'!H6</f>
        <v>VW316/6 EU_B</v>
      </c>
      <c r="I6" s="17"/>
      <c r="J6" s="193"/>
    </row>
    <row r="7" spans="1:10" ht="19.5" customHeight="1" x14ac:dyDescent="0.25">
      <c r="A7" s="11"/>
      <c r="B7" s="9"/>
      <c r="C7" s="1" t="s">
        <v>39</v>
      </c>
      <c r="D7" s="884" t="str">
        <f>'Acc. certificate PCA1 pre-check'!D7:F7</f>
        <v>Headlights, basic</v>
      </c>
      <c r="E7" s="885"/>
      <c r="F7" s="885"/>
      <c r="G7" s="885"/>
      <c r="H7" s="886"/>
      <c r="I7" s="18"/>
      <c r="J7" s="193"/>
    </row>
    <row r="8" spans="1:10" ht="31.5" customHeight="1" x14ac:dyDescent="0.25">
      <c r="A8" s="11"/>
      <c r="B8" s="9"/>
      <c r="C8" s="1" t="s">
        <v>40</v>
      </c>
      <c r="D8" s="4" t="str">
        <f>'Acc. certificate PCA1 pre-check'!D8</f>
        <v>Supplier 1</v>
      </c>
      <c r="E8" s="1" t="s">
        <v>41</v>
      </c>
      <c r="F8" s="4" t="str">
        <f>'Acc. certificate PCA1 pre-check'!F8</f>
        <v>Wolfsburg</v>
      </c>
      <c r="G8" s="1" t="s">
        <v>42</v>
      </c>
      <c r="H8" s="5">
        <f>'Acc. certificate PCA1 pre-check'!H8</f>
        <v>36408695</v>
      </c>
      <c r="I8" s="18"/>
      <c r="J8" s="193"/>
    </row>
    <row r="9" spans="1:10" s="194" customFormat="1" ht="12" customHeight="1" thickBot="1" x14ac:dyDescent="0.3">
      <c r="A9" s="6"/>
      <c r="B9" s="9"/>
      <c r="C9" s="778"/>
      <c r="D9" s="778"/>
      <c r="E9" s="778"/>
      <c r="F9" s="778"/>
      <c r="G9" s="778"/>
      <c r="H9" s="778"/>
      <c r="I9" s="10"/>
    </row>
    <row r="10" spans="1:10" ht="21.75" customHeight="1" thickTop="1" x14ac:dyDescent="0.25">
      <c r="A10" s="11"/>
      <c r="B10" s="9"/>
      <c r="C10" s="922" t="s">
        <v>52</v>
      </c>
      <c r="D10" s="923"/>
      <c r="E10" s="923"/>
      <c r="F10" s="923"/>
      <c r="G10" s="923"/>
      <c r="H10" s="924"/>
      <c r="I10" s="19"/>
      <c r="J10" s="193"/>
    </row>
    <row r="11" spans="1:10" s="194" customFormat="1" ht="9" customHeight="1" x14ac:dyDescent="0.25">
      <c r="A11" s="6"/>
      <c r="B11" s="9"/>
      <c r="C11" s="933"/>
      <c r="D11" s="926"/>
      <c r="E11" s="926"/>
      <c r="F11" s="926"/>
      <c r="G11" s="926"/>
      <c r="H11" s="934"/>
      <c r="I11" s="20"/>
    </row>
    <row r="12" spans="1:10" ht="33.75" customHeight="1" x14ac:dyDescent="0.25">
      <c r="A12" s="11"/>
      <c r="B12" s="9"/>
      <c r="C12" s="21" t="s">
        <v>53</v>
      </c>
      <c r="D12" s="935" t="s">
        <v>170</v>
      </c>
      <c r="E12" s="935"/>
      <c r="F12" s="935"/>
      <c r="G12" s="935"/>
      <c r="H12" s="936"/>
      <c r="I12" s="22"/>
      <c r="J12" s="193"/>
    </row>
    <row r="13" spans="1:10" ht="47.25" customHeight="1" x14ac:dyDescent="0.25">
      <c r="A13" s="11"/>
      <c r="B13" s="9"/>
      <c r="C13" s="21" t="s">
        <v>55</v>
      </c>
      <c r="D13" s="937" t="s">
        <v>171</v>
      </c>
      <c r="E13" s="937"/>
      <c r="F13" s="937"/>
      <c r="G13" s="937"/>
      <c r="H13" s="938"/>
      <c r="I13" s="23"/>
      <c r="J13" s="193"/>
    </row>
    <row r="14" spans="1:10" ht="33.75" customHeight="1" x14ac:dyDescent="0.25">
      <c r="A14" s="11"/>
      <c r="B14" s="9"/>
      <c r="C14" s="21" t="s">
        <v>172</v>
      </c>
      <c r="D14" s="868" t="s">
        <v>173</v>
      </c>
      <c r="E14" s="869"/>
      <c r="F14" s="869"/>
      <c r="G14" s="869"/>
      <c r="H14" s="870"/>
      <c r="I14" s="22"/>
      <c r="J14" s="193"/>
    </row>
    <row r="15" spans="1:10" ht="15" customHeight="1" x14ac:dyDescent="0.25">
      <c r="A15" s="11"/>
      <c r="B15" s="9"/>
      <c r="C15" s="939" t="s">
        <v>174</v>
      </c>
      <c r="D15" s="940"/>
      <c r="E15" s="940"/>
      <c r="F15" s="940"/>
      <c r="G15" s="940"/>
      <c r="H15" s="941"/>
      <c r="I15" s="10"/>
      <c r="J15" s="193"/>
    </row>
    <row r="16" spans="1:10" ht="26.25" customHeight="1" x14ac:dyDescent="0.25">
      <c r="A16" s="11"/>
      <c r="B16" s="9"/>
      <c r="C16" s="874" t="s">
        <v>43</v>
      </c>
      <c r="D16" s="877" t="s">
        <v>59</v>
      </c>
      <c r="E16" s="877"/>
      <c r="F16" s="880"/>
      <c r="G16" s="24" t="s">
        <v>60</v>
      </c>
      <c r="H16" s="25">
        <v>43497</v>
      </c>
      <c r="I16" s="26"/>
      <c r="J16" s="193"/>
    </row>
    <row r="17" spans="1:10" ht="22.5" customHeight="1" x14ac:dyDescent="0.25">
      <c r="A17" s="11"/>
      <c r="B17" s="9"/>
      <c r="C17" s="875"/>
      <c r="D17" s="27" t="s">
        <v>61</v>
      </c>
      <c r="E17" s="879" t="s">
        <v>62</v>
      </c>
      <c r="F17" s="880"/>
      <c r="G17" s="879" t="s">
        <v>63</v>
      </c>
      <c r="H17" s="881"/>
      <c r="I17" s="26"/>
      <c r="J17" s="193"/>
    </row>
    <row r="18" spans="1:10" ht="33.75" customHeight="1" x14ac:dyDescent="0.25">
      <c r="A18" s="11"/>
      <c r="B18" s="9"/>
      <c r="C18" s="28" t="s">
        <v>58</v>
      </c>
      <c r="D18" s="929" t="s">
        <v>175</v>
      </c>
      <c r="E18" s="929"/>
      <c r="F18" s="929"/>
      <c r="G18" s="929"/>
      <c r="H18" s="930"/>
      <c r="I18" s="10"/>
      <c r="J18" s="193"/>
    </row>
    <row r="19" spans="1:10" ht="16.5" customHeight="1" x14ac:dyDescent="0.25">
      <c r="A19" s="11"/>
      <c r="B19" s="9"/>
      <c r="C19" s="657" t="s">
        <v>176</v>
      </c>
      <c r="D19" s="931"/>
      <c r="E19" s="931"/>
      <c r="F19" s="931"/>
      <c r="G19" s="931"/>
      <c r="H19" s="932"/>
      <c r="I19" s="10"/>
      <c r="J19" s="193"/>
    </row>
    <row r="20" spans="1:10" ht="45" customHeight="1" thickBot="1" x14ac:dyDescent="0.3">
      <c r="A20" s="11"/>
      <c r="B20" s="9"/>
      <c r="C20" s="29" t="s">
        <v>66</v>
      </c>
      <c r="D20" s="30">
        <f>D72</f>
        <v>13365</v>
      </c>
      <c r="E20" s="31" t="s">
        <v>67</v>
      </c>
      <c r="F20" s="32">
        <f>F72</f>
        <v>15147</v>
      </c>
      <c r="G20" s="197" t="s">
        <v>177</v>
      </c>
      <c r="H20" s="34" t="e">
        <f>#REF!</f>
        <v>#REF!</v>
      </c>
      <c r="I20" s="10"/>
      <c r="J20" s="193"/>
    </row>
    <row r="21" spans="1:10" ht="10.5" customHeight="1" thickTop="1" thickBot="1" x14ac:dyDescent="0.3">
      <c r="A21" s="11"/>
      <c r="B21" s="9"/>
      <c r="D21" s="35"/>
      <c r="E21" s="35"/>
      <c r="F21" s="36"/>
      <c r="G21" s="35"/>
      <c r="H21" s="35"/>
      <c r="I21" s="10"/>
      <c r="J21" s="193"/>
    </row>
    <row r="22" spans="1:10" ht="22.5" customHeight="1" thickTop="1" x14ac:dyDescent="0.25">
      <c r="A22" s="11"/>
      <c r="B22" s="9"/>
      <c r="C22" s="922" t="s">
        <v>69</v>
      </c>
      <c r="D22" s="923"/>
      <c r="E22" s="923"/>
      <c r="F22" s="923"/>
      <c r="G22" s="923"/>
      <c r="H22" s="924"/>
      <c r="I22" s="10"/>
      <c r="J22" s="193"/>
    </row>
    <row r="23" spans="1:10" ht="114" customHeight="1" thickBot="1" x14ac:dyDescent="0.3">
      <c r="A23" s="11"/>
      <c r="B23" s="9"/>
      <c r="C23" s="861" t="s">
        <v>178</v>
      </c>
      <c r="D23" s="862"/>
      <c r="E23" s="862"/>
      <c r="F23" s="862"/>
      <c r="G23" s="862"/>
      <c r="H23" s="863"/>
      <c r="I23" s="10"/>
      <c r="J23" s="193"/>
    </row>
    <row r="24" spans="1:10" ht="10.5" customHeight="1" thickTop="1" thickBot="1" x14ac:dyDescent="0.3">
      <c r="A24" s="11"/>
      <c r="B24" s="9"/>
      <c r="C24" s="778"/>
      <c r="D24" s="778"/>
      <c r="E24" s="778"/>
      <c r="F24" s="778"/>
      <c r="G24" s="778"/>
      <c r="H24" s="778"/>
      <c r="I24" s="10"/>
      <c r="J24" s="193"/>
    </row>
    <row r="25" spans="1:10" ht="22.5" customHeight="1" x14ac:dyDescent="0.25">
      <c r="A25" s="11"/>
      <c r="B25" s="9"/>
      <c r="C25" s="752" t="s">
        <v>71</v>
      </c>
      <c r="D25" s="753"/>
      <c r="E25" s="753"/>
      <c r="F25" s="753"/>
      <c r="G25" s="753"/>
      <c r="H25" s="754"/>
      <c r="I25" s="37"/>
      <c r="J25" s="193"/>
    </row>
    <row r="26" spans="1:10" s="194" customFormat="1" ht="9" customHeight="1" x14ac:dyDescent="0.25">
      <c r="A26" s="6"/>
      <c r="B26" s="9"/>
      <c r="C26" s="925"/>
      <c r="D26" s="926"/>
      <c r="E26" s="926"/>
      <c r="F26" s="926"/>
      <c r="G26" s="926"/>
      <c r="H26" s="927"/>
      <c r="I26" s="20"/>
    </row>
    <row r="27" spans="1:10" s="198" customFormat="1" ht="15" customHeight="1" x14ac:dyDescent="0.2">
      <c r="A27" s="41"/>
      <c r="B27" s="38"/>
      <c r="C27" s="928" t="s">
        <v>72</v>
      </c>
      <c r="D27" s="797"/>
      <c r="E27" s="797" t="s">
        <v>73</v>
      </c>
      <c r="F27" s="797"/>
      <c r="G27" s="24" t="s">
        <v>74</v>
      </c>
      <c r="H27" s="39" t="s">
        <v>60</v>
      </c>
      <c r="I27" s="40"/>
    </row>
    <row r="28" spans="1:10" ht="34.5" customHeight="1" x14ac:dyDescent="0.25">
      <c r="A28" s="11"/>
      <c r="B28" s="9"/>
      <c r="C28" s="919" t="s">
        <v>179</v>
      </c>
      <c r="D28" s="774"/>
      <c r="E28" s="836" t="s">
        <v>76</v>
      </c>
      <c r="F28" s="921"/>
      <c r="G28" s="42" t="s">
        <v>77</v>
      </c>
      <c r="H28" s="43">
        <v>43800</v>
      </c>
      <c r="I28" s="44"/>
      <c r="J28" s="193"/>
    </row>
    <row r="29" spans="1:10" ht="32.25" customHeight="1" x14ac:dyDescent="0.25">
      <c r="A29" s="11"/>
      <c r="B29" s="9"/>
      <c r="C29" s="919" t="s">
        <v>180</v>
      </c>
      <c r="D29" s="774"/>
      <c r="E29" s="774" t="s">
        <v>79</v>
      </c>
      <c r="F29" s="774"/>
      <c r="G29" s="42" t="s">
        <v>77</v>
      </c>
      <c r="H29" s="43">
        <v>43800</v>
      </c>
      <c r="I29" s="44"/>
      <c r="J29" s="193"/>
    </row>
    <row r="30" spans="1:10" ht="32.25" customHeight="1" x14ac:dyDescent="0.25">
      <c r="A30" s="11"/>
      <c r="B30" s="9"/>
      <c r="C30" s="834"/>
      <c r="D30" s="921"/>
      <c r="E30" s="836"/>
      <c r="F30" s="921"/>
      <c r="G30" s="42"/>
      <c r="H30" s="43"/>
      <c r="I30" s="44"/>
      <c r="J30" s="193"/>
    </row>
    <row r="31" spans="1:10" ht="31.5" customHeight="1" x14ac:dyDescent="0.25">
      <c r="A31" s="11"/>
      <c r="B31" s="9"/>
      <c r="C31" s="919"/>
      <c r="D31" s="774"/>
      <c r="E31" s="774"/>
      <c r="F31" s="774"/>
      <c r="G31" s="42"/>
      <c r="H31" s="43"/>
      <c r="I31" s="44"/>
      <c r="J31" s="193"/>
    </row>
    <row r="32" spans="1:10" ht="31.5" customHeight="1" thickBot="1" x14ac:dyDescent="0.3">
      <c r="A32" s="11"/>
      <c r="B32" s="9"/>
      <c r="C32" s="920"/>
      <c r="D32" s="776"/>
      <c r="E32" s="776"/>
      <c r="F32" s="776"/>
      <c r="G32" s="45"/>
      <c r="H32" s="46"/>
      <c r="I32" s="44"/>
      <c r="J32" s="199"/>
    </row>
    <row r="33" spans="1:10" ht="10.5" customHeight="1" thickBot="1" x14ac:dyDescent="0.3">
      <c r="A33" s="11"/>
      <c r="B33" s="9"/>
      <c r="C33" s="778"/>
      <c r="D33" s="778"/>
      <c r="E33" s="778"/>
      <c r="F33" s="778"/>
      <c r="G33" s="778"/>
      <c r="H33" s="778"/>
      <c r="I33" s="10"/>
      <c r="J33" s="199"/>
    </row>
    <row r="34" spans="1:10" ht="22.5" customHeight="1" x14ac:dyDescent="0.25">
      <c r="A34" s="11"/>
      <c r="B34" s="9"/>
      <c r="C34" s="752" t="s">
        <v>80</v>
      </c>
      <c r="D34" s="753"/>
      <c r="E34" s="753"/>
      <c r="F34" s="753"/>
      <c r="G34" s="753"/>
      <c r="H34" s="754"/>
      <c r="I34" s="37"/>
      <c r="J34" s="199"/>
    </row>
    <row r="35" spans="1:10" ht="9" customHeight="1" x14ac:dyDescent="0.25">
      <c r="B35" s="9"/>
      <c r="C35" s="755"/>
      <c r="D35" s="756"/>
      <c r="E35" s="756"/>
      <c r="F35" s="756"/>
      <c r="G35" s="756"/>
      <c r="H35" s="757"/>
      <c r="I35" s="10"/>
      <c r="J35" s="200"/>
    </row>
    <row r="36" spans="1:10" ht="33.75" customHeight="1" thickBot="1" x14ac:dyDescent="0.3">
      <c r="B36" s="9"/>
      <c r="C36" s="201" t="s">
        <v>181</v>
      </c>
      <c r="D36" s="48">
        <f>D37*48</f>
        <v>399984</v>
      </c>
      <c r="E36" s="207" t="s">
        <v>182</v>
      </c>
      <c r="F36" s="50">
        <f>D36*1.15</f>
        <v>459981.6</v>
      </c>
      <c r="G36" s="202" t="s">
        <v>83</v>
      </c>
      <c r="H36" s="51">
        <v>42848</v>
      </c>
      <c r="I36" s="52"/>
      <c r="J36" s="200"/>
    </row>
    <row r="37" spans="1:10" ht="33.75" customHeight="1" thickBot="1" x14ac:dyDescent="0.3">
      <c r="B37" s="9"/>
      <c r="C37" s="203" t="s">
        <v>183</v>
      </c>
      <c r="D37" s="54">
        <v>8333</v>
      </c>
      <c r="E37" s="209" t="s">
        <v>184</v>
      </c>
      <c r="F37" s="50">
        <f>F36/48</f>
        <v>9582.9499999999989</v>
      </c>
      <c r="G37" s="915" t="s">
        <v>86</v>
      </c>
      <c r="H37" s="917">
        <v>44013</v>
      </c>
      <c r="I37" s="52"/>
      <c r="J37" s="200"/>
    </row>
    <row r="38" spans="1:10" ht="46.5" customHeight="1" thickBot="1" x14ac:dyDescent="0.3">
      <c r="B38" s="9"/>
      <c r="C38" s="204" t="s">
        <v>87</v>
      </c>
      <c r="D38" s="56">
        <v>200</v>
      </c>
      <c r="E38" s="205" t="s">
        <v>88</v>
      </c>
      <c r="F38" s="58">
        <v>43466</v>
      </c>
      <c r="G38" s="916"/>
      <c r="H38" s="918"/>
      <c r="I38" s="10"/>
      <c r="J38" s="200"/>
    </row>
    <row r="39" spans="1:10" ht="3.75" customHeight="1" x14ac:dyDescent="0.25">
      <c r="B39" s="9"/>
      <c r="C39" s="778"/>
      <c r="D39" s="778"/>
      <c r="E39" s="778"/>
      <c r="F39" s="778"/>
      <c r="G39" s="778"/>
      <c r="H39" s="778"/>
      <c r="I39" s="10"/>
      <c r="J39" s="200"/>
    </row>
    <row r="40" spans="1:10" ht="3" customHeight="1" x14ac:dyDescent="0.25">
      <c r="B40" s="9"/>
      <c r="C40" s="59"/>
      <c r="D40" s="60"/>
      <c r="E40" s="60"/>
      <c r="F40" s="60"/>
      <c r="G40" s="60"/>
      <c r="H40" s="60"/>
      <c r="I40" s="10"/>
      <c r="J40" s="200"/>
    </row>
    <row r="41" spans="1:10" ht="24" customHeight="1" x14ac:dyDescent="0.25">
      <c r="B41" s="9"/>
      <c r="C41" s="59"/>
      <c r="D41" s="60"/>
      <c r="E41" s="60"/>
      <c r="F41" s="60"/>
      <c r="G41" s="60"/>
      <c r="H41" s="60"/>
      <c r="I41" s="10"/>
      <c r="J41" s="200"/>
    </row>
    <row r="42" spans="1:10" ht="2.25" customHeight="1" thickBot="1" x14ac:dyDescent="0.3">
      <c r="B42" s="135"/>
      <c r="C42" s="61"/>
      <c r="D42" s="62"/>
      <c r="E42" s="62"/>
      <c r="F42" s="62"/>
      <c r="G42" s="62"/>
      <c r="H42" s="62"/>
      <c r="I42" s="63"/>
      <c r="J42" s="200"/>
    </row>
    <row r="43" spans="1:10" ht="0.75" hidden="1" customHeight="1" x14ac:dyDescent="0.25">
      <c r="C43" s="59"/>
      <c r="D43" s="60"/>
      <c r="E43" s="60"/>
      <c r="F43" s="60"/>
      <c r="G43" s="60"/>
      <c r="H43" s="60"/>
      <c r="J43" s="200"/>
    </row>
    <row r="44" spans="1:10" ht="11.25" customHeight="1" x14ac:dyDescent="0.25">
      <c r="B44" s="9"/>
      <c r="C44" s="59"/>
      <c r="D44" s="60"/>
      <c r="E44" s="60"/>
      <c r="F44" s="60"/>
      <c r="G44" s="60"/>
      <c r="H44" s="60"/>
      <c r="I44" s="10"/>
    </row>
    <row r="45" spans="1:10" ht="11.25" customHeight="1" thickBot="1" x14ac:dyDescent="0.3">
      <c r="B45" s="9"/>
      <c r="C45" s="59"/>
      <c r="D45" s="59"/>
      <c r="E45" s="59"/>
      <c r="F45" s="59"/>
      <c r="G45" s="59"/>
      <c r="H45" s="59"/>
      <c r="I45" s="10"/>
    </row>
    <row r="46" spans="1:10" ht="22.5" customHeight="1" x14ac:dyDescent="0.25">
      <c r="B46" s="9"/>
      <c r="C46" s="800" t="s">
        <v>89</v>
      </c>
      <c r="D46" s="859"/>
      <c r="E46" s="859"/>
      <c r="F46" s="860"/>
      <c r="G46" s="846" t="s">
        <v>90</v>
      </c>
      <c r="H46" s="847"/>
      <c r="I46" s="37"/>
    </row>
    <row r="47" spans="1:10" ht="9" customHeight="1" x14ac:dyDescent="0.25">
      <c r="B47" s="9"/>
      <c r="C47" s="755"/>
      <c r="D47" s="756"/>
      <c r="E47" s="756"/>
      <c r="F47" s="756"/>
      <c r="G47" s="756"/>
      <c r="H47" s="757"/>
      <c r="I47" s="10"/>
    </row>
    <row r="48" spans="1:10" ht="44.25" customHeight="1" x14ac:dyDescent="0.25">
      <c r="B48" s="9"/>
      <c r="C48" s="206" t="s">
        <v>91</v>
      </c>
      <c r="D48" s="69">
        <v>1</v>
      </c>
      <c r="E48" s="207" t="s">
        <v>92</v>
      </c>
      <c r="F48" s="69">
        <v>0.75</v>
      </c>
      <c r="G48" s="207" t="s">
        <v>93</v>
      </c>
      <c r="H48" s="71">
        <v>0.85</v>
      </c>
      <c r="I48" s="208"/>
    </row>
    <row r="49" spans="1:10" ht="44.25" customHeight="1" x14ac:dyDescent="0.25">
      <c r="B49" s="9"/>
      <c r="C49" s="119" t="s">
        <v>94</v>
      </c>
      <c r="D49" s="74">
        <v>1</v>
      </c>
      <c r="E49" s="209" t="s">
        <v>185</v>
      </c>
      <c r="F49" s="74">
        <v>480</v>
      </c>
      <c r="G49" s="207" t="s">
        <v>96</v>
      </c>
      <c r="H49" s="76" t="s">
        <v>58</v>
      </c>
      <c r="I49" s="44"/>
    </row>
    <row r="50" spans="1:10" ht="44.25" customHeight="1" x14ac:dyDescent="0.25">
      <c r="B50" s="9"/>
      <c r="C50" s="210" t="s">
        <v>186</v>
      </c>
      <c r="D50" s="78">
        <v>0.5</v>
      </c>
      <c r="E50" s="211" t="s">
        <v>187</v>
      </c>
      <c r="F50" s="69">
        <v>0.02</v>
      </c>
      <c r="G50" s="207" t="s">
        <v>99</v>
      </c>
      <c r="H50" s="51">
        <v>43831</v>
      </c>
      <c r="I50" s="10"/>
    </row>
    <row r="51" spans="1:10" ht="52.5" customHeight="1" thickBot="1" x14ac:dyDescent="0.3">
      <c r="B51" s="9"/>
      <c r="C51" s="212" t="s">
        <v>100</v>
      </c>
      <c r="D51" s="81">
        <v>15</v>
      </c>
      <c r="E51" s="213" t="s">
        <v>101</v>
      </c>
      <c r="F51" s="81">
        <v>17</v>
      </c>
      <c r="G51" s="207" t="s">
        <v>102</v>
      </c>
      <c r="H51" s="76" t="s">
        <v>58</v>
      </c>
      <c r="I51" s="10"/>
    </row>
    <row r="52" spans="1:10" ht="44.25" customHeight="1" thickBot="1" x14ac:dyDescent="0.3">
      <c r="B52" s="9"/>
      <c r="C52" s="214" t="s">
        <v>188</v>
      </c>
      <c r="D52" s="215">
        <f>D49*F49/D50*D51*H48*F48*D48*(100%-F50)</f>
        <v>8996.4</v>
      </c>
      <c r="E52" s="216" t="s">
        <v>189</v>
      </c>
      <c r="F52" s="217">
        <f>D49*F49/D50*F51*H48*F48*D48*(100%-F50)</f>
        <v>10195.92</v>
      </c>
      <c r="G52" s="218" t="s">
        <v>105</v>
      </c>
      <c r="H52" s="88">
        <v>43831</v>
      </c>
      <c r="I52" s="10"/>
    </row>
    <row r="53" spans="1:10" ht="44.25" customHeight="1" thickBot="1" x14ac:dyDescent="0.3">
      <c r="B53" s="9"/>
      <c r="C53" s="219" t="s">
        <v>106</v>
      </c>
      <c r="D53" s="912" t="s">
        <v>107</v>
      </c>
      <c r="E53" s="794"/>
      <c r="F53" s="794"/>
      <c r="G53" s="913"/>
      <c r="H53" s="914"/>
      <c r="I53" s="10"/>
    </row>
    <row r="54" spans="1:10" ht="7.5" customHeight="1" x14ac:dyDescent="0.25">
      <c r="B54" s="9"/>
      <c r="C54" s="59"/>
      <c r="D54" s="60"/>
      <c r="E54" s="60"/>
      <c r="F54" s="60"/>
      <c r="G54" s="60"/>
      <c r="H54" s="60"/>
      <c r="I54" s="10"/>
    </row>
    <row r="55" spans="1:10" ht="4.5" customHeight="1" thickBot="1" x14ac:dyDescent="0.3">
      <c r="B55" s="9"/>
      <c r="C55" s="61"/>
      <c r="D55" s="61"/>
      <c r="E55" s="61"/>
      <c r="F55" s="61"/>
      <c r="G55" s="61"/>
      <c r="H55" s="61"/>
      <c r="I55" s="10"/>
    </row>
    <row r="56" spans="1:10" s="222" customFormat="1" ht="23.25" customHeight="1" x14ac:dyDescent="0.25">
      <c r="A56" s="220"/>
      <c r="B56" s="66"/>
      <c r="C56" s="843" t="s">
        <v>108</v>
      </c>
      <c r="D56" s="844"/>
      <c r="E56" s="844"/>
      <c r="F56" s="845"/>
      <c r="G56" s="846" t="s">
        <v>90</v>
      </c>
      <c r="H56" s="847"/>
      <c r="I56" s="67"/>
      <c r="J56" s="221"/>
    </row>
    <row r="57" spans="1:10" ht="7.5" customHeight="1" x14ac:dyDescent="0.25">
      <c r="B57" s="9"/>
      <c r="C57" s="785"/>
      <c r="D57" s="786"/>
      <c r="E57" s="786"/>
      <c r="F57" s="786"/>
      <c r="G57" s="786"/>
      <c r="H57" s="787"/>
      <c r="I57" s="10"/>
    </row>
    <row r="58" spans="1:10" ht="52.5" customHeight="1" x14ac:dyDescent="0.25">
      <c r="B58" s="9"/>
      <c r="C58" s="223" t="s">
        <v>109</v>
      </c>
      <c r="D58" s="74">
        <v>1</v>
      </c>
      <c r="E58" s="121" t="s">
        <v>190</v>
      </c>
      <c r="F58" s="74">
        <v>480</v>
      </c>
      <c r="G58" s="121" t="s">
        <v>111</v>
      </c>
      <c r="H58" s="92">
        <v>1200</v>
      </c>
      <c r="I58" s="72"/>
    </row>
    <row r="59" spans="1:10" ht="41.25" customHeight="1" x14ac:dyDescent="0.25">
      <c r="B59" s="9"/>
      <c r="C59" s="119" t="s">
        <v>112</v>
      </c>
      <c r="D59" s="50">
        <f>H58-F59-H59</f>
        <v>1188</v>
      </c>
      <c r="E59" s="121" t="s">
        <v>113</v>
      </c>
      <c r="F59" s="74">
        <v>0</v>
      </c>
      <c r="G59" s="121" t="s">
        <v>114</v>
      </c>
      <c r="H59" s="94">
        <v>12</v>
      </c>
      <c r="I59" s="72"/>
    </row>
    <row r="60" spans="1:10" ht="41.25" customHeight="1" thickBot="1" x14ac:dyDescent="0.3">
      <c r="B60" s="9"/>
      <c r="C60" s="224" t="s">
        <v>191</v>
      </c>
      <c r="D60" s="96">
        <f>D59+F59</f>
        <v>1188</v>
      </c>
      <c r="E60" s="225" t="s">
        <v>116</v>
      </c>
      <c r="F60" s="98">
        <f>D59/H58</f>
        <v>0.99</v>
      </c>
      <c r="G60" s="225" t="s">
        <v>117</v>
      </c>
      <c r="H60" s="99">
        <f>H59/H58</f>
        <v>0.01</v>
      </c>
      <c r="I60" s="72"/>
    </row>
    <row r="61" spans="1:10" ht="12" customHeight="1" thickBot="1" x14ac:dyDescent="0.3">
      <c r="B61" s="9"/>
      <c r="C61" s="100"/>
      <c r="D61" s="101"/>
      <c r="E61" s="100"/>
      <c r="F61" s="102"/>
      <c r="G61" s="100"/>
      <c r="H61" s="103"/>
      <c r="I61" s="72"/>
    </row>
    <row r="62" spans="1:10" s="222" customFormat="1" ht="23.25" customHeight="1" x14ac:dyDescent="0.25">
      <c r="A62" s="220"/>
      <c r="B62" s="66"/>
      <c r="C62" s="800" t="s">
        <v>118</v>
      </c>
      <c r="D62" s="801"/>
      <c r="E62" s="801"/>
      <c r="F62" s="801"/>
      <c r="G62" s="801"/>
      <c r="H62" s="802"/>
      <c r="I62" s="67"/>
      <c r="J62" s="221"/>
    </row>
    <row r="63" spans="1:10" ht="7.5" customHeight="1" thickBot="1" x14ac:dyDescent="0.3">
      <c r="B63" s="9"/>
      <c r="C63" s="105"/>
      <c r="D63" s="106"/>
      <c r="E63" s="107"/>
      <c r="F63" s="108"/>
      <c r="G63" s="107"/>
      <c r="H63" s="109"/>
      <c r="I63" s="72"/>
    </row>
    <row r="64" spans="1:10" ht="26.25" customHeight="1" x14ac:dyDescent="0.25">
      <c r="B64" s="9"/>
      <c r="C64" s="110" t="s">
        <v>192</v>
      </c>
      <c r="D64" s="111"/>
      <c r="E64" s="111"/>
      <c r="F64" s="112"/>
      <c r="G64" s="112"/>
      <c r="H64" s="113"/>
      <c r="I64" s="72"/>
    </row>
    <row r="65" spans="2:9" ht="5.25" customHeight="1" x14ac:dyDescent="0.25">
      <c r="B65" s="9"/>
      <c r="C65" s="114"/>
      <c r="D65" s="115"/>
      <c r="E65" s="116"/>
      <c r="F65" s="117"/>
      <c r="G65" s="116"/>
      <c r="H65" s="118"/>
      <c r="I65" s="72"/>
    </row>
    <row r="66" spans="2:9" ht="0.75" customHeight="1" x14ac:dyDescent="0.25">
      <c r="B66" s="9"/>
      <c r="C66" s="119" t="s">
        <v>193</v>
      </c>
      <c r="D66" s="120"/>
      <c r="E66" s="121" t="s">
        <v>66</v>
      </c>
      <c r="F66" s="122" t="str">
        <f>IF($H$64="x",((($D$59/$D$58)*$D$49)/$F$58*$F$49*$D$51*$D$48*$F$48*$H$48),"n.b.")</f>
        <v>n.b.</v>
      </c>
      <c r="G66" s="121" t="s">
        <v>67</v>
      </c>
      <c r="H66" s="122" t="str">
        <f>IF($H$64="x",((($D$59/$D$58)*$D$49)/$F$58*$F$49*$F$51*$D$48*$F$48*$H$48),"n.b.")</f>
        <v>n.b.</v>
      </c>
      <c r="I66" s="72"/>
    </row>
    <row r="67" spans="2:9" ht="45.75" customHeight="1" thickBot="1" x14ac:dyDescent="0.3">
      <c r="B67" s="9"/>
      <c r="C67" s="803" t="s">
        <v>194</v>
      </c>
      <c r="D67" s="804"/>
      <c r="E67" s="804"/>
      <c r="F67" s="804"/>
      <c r="G67" s="804"/>
      <c r="H67" s="805"/>
      <c r="I67" s="72"/>
    </row>
    <row r="68" spans="2:9" ht="26.25" customHeight="1" x14ac:dyDescent="0.25">
      <c r="B68" s="9"/>
      <c r="C68" s="110" t="s">
        <v>195</v>
      </c>
      <c r="D68" s="226"/>
      <c r="E68" s="226"/>
      <c r="F68" s="227"/>
      <c r="G68" s="112"/>
      <c r="H68" s="113" t="s">
        <v>58</v>
      </c>
      <c r="I68" s="72"/>
    </row>
    <row r="69" spans="2:9" ht="6" customHeight="1" x14ac:dyDescent="0.25">
      <c r="B69" s="9"/>
      <c r="C69" s="228"/>
      <c r="D69" s="229"/>
      <c r="E69" s="230"/>
      <c r="F69" s="231"/>
      <c r="G69" s="230"/>
      <c r="H69" s="118"/>
      <c r="I69" s="72"/>
    </row>
    <row r="70" spans="2:9" ht="0.75" customHeight="1" x14ac:dyDescent="0.25">
      <c r="B70" s="9"/>
      <c r="C70" s="119" t="s">
        <v>196</v>
      </c>
      <c r="D70" s="120"/>
      <c r="E70" s="121" t="s">
        <v>66</v>
      </c>
      <c r="F70" s="122">
        <f>IF($H$68="x",((($D$59/$D$58)*$D$49)/$F$58*$F$49*$D$51*$D$48*$F$48),"n.b.")</f>
        <v>13365</v>
      </c>
      <c r="G70" s="121" t="s">
        <v>67</v>
      </c>
      <c r="H70" s="122">
        <f>IF($H$68="x",((($D$59/$D$58)*$D$49)/$F$58*$F$49*$F$51*$D$48*$F$48),"n.b.")</f>
        <v>15147</v>
      </c>
      <c r="I70" s="72"/>
    </row>
    <row r="71" spans="2:9" ht="47.25" customHeight="1" thickBot="1" x14ac:dyDescent="0.3">
      <c r="B71" s="9"/>
      <c r="C71" s="903" t="s">
        <v>197</v>
      </c>
      <c r="D71" s="904"/>
      <c r="E71" s="905"/>
      <c r="F71" s="905"/>
      <c r="G71" s="905"/>
      <c r="H71" s="906"/>
      <c r="I71" s="72"/>
    </row>
    <row r="72" spans="2:9" ht="51" customHeight="1" thickBot="1" x14ac:dyDescent="0.3">
      <c r="B72" s="9"/>
      <c r="C72" s="232" t="s">
        <v>66</v>
      </c>
      <c r="D72" s="124">
        <f>IF(H66="n.b.",F70,F66)</f>
        <v>13365</v>
      </c>
      <c r="E72" s="233" t="s">
        <v>67</v>
      </c>
      <c r="F72" s="126">
        <f>IF(H66="n.b.",H70,H66)</f>
        <v>15147</v>
      </c>
      <c r="G72" s="234" t="s">
        <v>198</v>
      </c>
      <c r="H72" s="128">
        <f>D37</f>
        <v>8333</v>
      </c>
      <c r="I72" s="235"/>
    </row>
    <row r="73" spans="2:9" ht="68.25" customHeight="1" x14ac:dyDescent="0.25">
      <c r="B73" s="9"/>
      <c r="C73" s="236" t="s">
        <v>199</v>
      </c>
      <c r="D73" s="131"/>
      <c r="E73" s="132" t="s">
        <v>121</v>
      </c>
      <c r="F73" s="133" t="s">
        <v>58</v>
      </c>
      <c r="G73" s="121" t="s">
        <v>122</v>
      </c>
      <c r="H73" s="237"/>
      <c r="I73" s="72"/>
    </row>
    <row r="74" spans="2:9" ht="19.5" customHeight="1" thickBot="1" x14ac:dyDescent="0.3">
      <c r="B74" s="9"/>
      <c r="C74" s="907" t="s">
        <v>123</v>
      </c>
      <c r="D74" s="908"/>
      <c r="E74" s="908"/>
      <c r="F74" s="908"/>
      <c r="G74" s="908"/>
      <c r="H74" s="909"/>
      <c r="I74" s="10"/>
    </row>
    <row r="75" spans="2:9" ht="27.75" customHeight="1" thickBot="1" x14ac:dyDescent="0.3">
      <c r="B75" s="135"/>
      <c r="C75" s="910" t="s">
        <v>200</v>
      </c>
      <c r="D75" s="911"/>
      <c r="E75" s="911"/>
      <c r="F75" s="911"/>
      <c r="G75" s="911"/>
      <c r="H75" s="911"/>
      <c r="I75" s="63"/>
    </row>
    <row r="76" spans="2:9" ht="12" customHeight="1" thickBot="1" x14ac:dyDescent="0.3">
      <c r="B76" s="9"/>
      <c r="C76" s="796"/>
      <c r="D76" s="796"/>
      <c r="E76" s="796"/>
      <c r="F76" s="796"/>
      <c r="G76" s="796"/>
      <c r="H76" s="796"/>
      <c r="I76" s="10"/>
    </row>
    <row r="77" spans="2:9" ht="22.5" customHeight="1" x14ac:dyDescent="0.25">
      <c r="B77" s="9"/>
      <c r="C77" s="800" t="s">
        <v>125</v>
      </c>
      <c r="D77" s="810"/>
      <c r="E77" s="810"/>
      <c r="F77" s="810"/>
      <c r="G77" s="810"/>
      <c r="H77" s="811"/>
      <c r="I77" s="37"/>
    </row>
    <row r="78" spans="2:9" ht="6.75" customHeight="1" x14ac:dyDescent="0.25">
      <c r="B78" s="9"/>
      <c r="C78" s="755"/>
      <c r="D78" s="756"/>
      <c r="E78" s="756"/>
      <c r="F78" s="756"/>
      <c r="G78" s="756"/>
      <c r="H78" s="757"/>
      <c r="I78" s="10"/>
    </row>
    <row r="79" spans="2:9" ht="28.5" customHeight="1" x14ac:dyDescent="0.25">
      <c r="B79" s="9"/>
      <c r="C79" s="119" t="s">
        <v>126</v>
      </c>
      <c r="D79" s="144" t="s">
        <v>127</v>
      </c>
      <c r="E79" s="818" t="s">
        <v>128</v>
      </c>
      <c r="F79" s="774" t="s">
        <v>129</v>
      </c>
      <c r="G79" s="820"/>
      <c r="H79" s="821"/>
      <c r="I79" s="93"/>
    </row>
    <row r="80" spans="2:9" ht="18.75" customHeight="1" x14ac:dyDescent="0.25">
      <c r="B80" s="9"/>
      <c r="C80" s="119" t="s">
        <v>130</v>
      </c>
      <c r="D80" s="144" t="s">
        <v>131</v>
      </c>
      <c r="E80" s="818"/>
      <c r="F80" s="774"/>
      <c r="G80" s="820"/>
      <c r="H80" s="821"/>
      <c r="I80" s="93"/>
    </row>
    <row r="81" spans="1:10" ht="33" customHeight="1" x14ac:dyDescent="0.25">
      <c r="B81" s="9"/>
      <c r="C81" s="119" t="s">
        <v>132</v>
      </c>
      <c r="D81" s="145">
        <v>43800</v>
      </c>
      <c r="E81" s="825"/>
      <c r="F81" s="820"/>
      <c r="G81" s="820"/>
      <c r="H81" s="821"/>
      <c r="I81" s="93"/>
    </row>
    <row r="82" spans="1:10" ht="6" customHeight="1" x14ac:dyDescent="0.25">
      <c r="B82" s="9"/>
      <c r="C82" s="815"/>
      <c r="D82" s="816"/>
      <c r="E82" s="816"/>
      <c r="F82" s="816"/>
      <c r="G82" s="816"/>
      <c r="H82" s="817"/>
      <c r="I82" s="104"/>
    </row>
    <row r="83" spans="1:10" ht="30" customHeight="1" x14ac:dyDescent="0.25">
      <c r="B83" s="9"/>
      <c r="C83" s="119" t="s">
        <v>133</v>
      </c>
      <c r="D83" s="238" t="s">
        <v>58</v>
      </c>
      <c r="E83" s="818" t="s">
        <v>128</v>
      </c>
      <c r="F83" s="774" t="s">
        <v>134</v>
      </c>
      <c r="G83" s="820"/>
      <c r="H83" s="821"/>
      <c r="I83" s="93"/>
    </row>
    <row r="84" spans="1:10" ht="33" customHeight="1" x14ac:dyDescent="0.25">
      <c r="B84" s="9"/>
      <c r="C84" s="119" t="s">
        <v>135</v>
      </c>
      <c r="D84" s="145">
        <v>43800</v>
      </c>
      <c r="E84" s="825"/>
      <c r="F84" s="820"/>
      <c r="G84" s="820"/>
      <c r="H84" s="821"/>
      <c r="I84" s="93"/>
    </row>
    <row r="85" spans="1:10" ht="6" customHeight="1" x14ac:dyDescent="0.25">
      <c r="A85" s="11"/>
      <c r="B85" s="9"/>
      <c r="C85" s="815"/>
      <c r="D85" s="816"/>
      <c r="E85" s="816"/>
      <c r="F85" s="816"/>
      <c r="G85" s="816"/>
      <c r="H85" s="817"/>
      <c r="I85" s="104"/>
      <c r="J85" s="193"/>
    </row>
    <row r="86" spans="1:10" ht="28.5" customHeight="1" x14ac:dyDescent="0.25">
      <c r="A86" s="11"/>
      <c r="B86" s="9"/>
      <c r="C86" s="119" t="s">
        <v>136</v>
      </c>
      <c r="D86" s="238" t="s">
        <v>58</v>
      </c>
      <c r="E86" s="818" t="s">
        <v>128</v>
      </c>
      <c r="F86" s="774" t="s">
        <v>137</v>
      </c>
      <c r="G86" s="820"/>
      <c r="H86" s="821"/>
      <c r="I86" s="93"/>
      <c r="J86" s="193"/>
    </row>
    <row r="87" spans="1:10" ht="18" customHeight="1" thickBot="1" x14ac:dyDescent="0.3">
      <c r="A87" s="11"/>
      <c r="B87" s="9"/>
      <c r="C87" s="224" t="s">
        <v>138</v>
      </c>
      <c r="D87" s="147">
        <v>43800</v>
      </c>
      <c r="E87" s="819"/>
      <c r="F87" s="822"/>
      <c r="G87" s="822"/>
      <c r="H87" s="823"/>
      <c r="I87" s="93"/>
      <c r="J87" s="193"/>
    </row>
    <row r="88" spans="1:10" ht="4.5" hidden="1" customHeight="1" x14ac:dyDescent="0.25">
      <c r="A88" s="11"/>
      <c r="B88" s="9"/>
      <c r="C88" s="824"/>
      <c r="D88" s="824"/>
      <c r="E88" s="824"/>
      <c r="F88" s="824"/>
      <c r="G88" s="824"/>
      <c r="H88" s="824"/>
      <c r="I88" s="10"/>
      <c r="J88" s="193"/>
    </row>
    <row r="89" spans="1:10" s="241" customFormat="1" ht="5.25" customHeight="1" x14ac:dyDescent="0.25">
      <c r="A89" s="148"/>
      <c r="B89" s="149"/>
      <c r="C89" s="60"/>
      <c r="D89" s="60"/>
      <c r="E89" s="60"/>
      <c r="F89" s="239"/>
      <c r="G89" s="239"/>
      <c r="H89" s="239"/>
      <c r="I89" s="150"/>
      <c r="J89" s="240"/>
    </row>
    <row r="90" spans="1:10" ht="3.75" customHeight="1" thickBot="1" x14ac:dyDescent="0.3">
      <c r="B90" s="9"/>
      <c r="C90" s="242"/>
      <c r="D90" s="242"/>
      <c r="E90" s="242"/>
      <c r="F90" s="242"/>
      <c r="G90" s="242"/>
      <c r="H90" s="242"/>
      <c r="I90" s="10"/>
    </row>
    <row r="91" spans="1:10" ht="23.25" customHeight="1" x14ac:dyDescent="0.25">
      <c r="B91" s="243"/>
      <c r="C91" s="900" t="s">
        <v>201</v>
      </c>
      <c r="D91" s="901"/>
      <c r="E91" s="901"/>
      <c r="F91" s="901"/>
      <c r="G91" s="901"/>
      <c r="H91" s="902"/>
      <c r="I91" s="244"/>
    </row>
    <row r="92" spans="1:10" ht="6.75" customHeight="1" x14ac:dyDescent="0.25">
      <c r="B92" s="9"/>
      <c r="C92" s="755"/>
      <c r="D92" s="756"/>
      <c r="E92" s="756"/>
      <c r="F92" s="756"/>
      <c r="G92" s="756"/>
      <c r="H92" s="757"/>
      <c r="I92" s="10"/>
    </row>
    <row r="93" spans="1:10" ht="27" customHeight="1" x14ac:dyDescent="0.25">
      <c r="B93" s="9"/>
      <c r="C93" s="157" t="s">
        <v>58</v>
      </c>
      <c r="D93" s="897" t="s">
        <v>202</v>
      </c>
      <c r="E93" s="898"/>
      <c r="F93" s="158"/>
      <c r="G93" s="897" t="s">
        <v>203</v>
      </c>
      <c r="H93" s="899"/>
      <c r="I93" s="10"/>
    </row>
    <row r="94" spans="1:10" ht="7.5" customHeight="1" x14ac:dyDescent="0.25">
      <c r="A94" s="11"/>
      <c r="B94" s="9"/>
      <c r="C94" s="162"/>
      <c r="D94" s="142"/>
      <c r="E94" s="142"/>
      <c r="F94" s="142"/>
      <c r="G94" s="142"/>
      <c r="H94" s="142"/>
      <c r="I94" s="93"/>
      <c r="J94" s="193"/>
    </row>
    <row r="95" spans="1:10" ht="3" customHeight="1" thickBot="1" x14ac:dyDescent="0.3">
      <c r="A95" s="11"/>
      <c r="B95" s="9"/>
      <c r="C95" s="778"/>
      <c r="D95" s="778"/>
      <c r="E95" s="778"/>
      <c r="F95" s="778"/>
      <c r="G95" s="778"/>
      <c r="H95" s="778"/>
      <c r="I95" s="10"/>
      <c r="J95" s="193"/>
    </row>
    <row r="96" spans="1:10" s="249" customFormat="1" ht="22.5" customHeight="1" x14ac:dyDescent="0.2">
      <c r="A96" s="247"/>
      <c r="B96" s="248"/>
      <c r="C96" s="752" t="s">
        <v>143</v>
      </c>
      <c r="D96" s="753"/>
      <c r="E96" s="753"/>
      <c r="F96" s="753"/>
      <c r="G96" s="753"/>
      <c r="H96" s="754"/>
      <c r="I96" s="37"/>
    </row>
    <row r="97" spans="1:10" ht="6" customHeight="1" x14ac:dyDescent="0.25">
      <c r="A97" s="11"/>
      <c r="B97" s="9"/>
      <c r="C97" s="755"/>
      <c r="D97" s="756"/>
      <c r="E97" s="756"/>
      <c r="F97" s="756"/>
      <c r="G97" s="756"/>
      <c r="H97" s="757"/>
      <c r="I97" s="10"/>
      <c r="J97" s="193"/>
    </row>
    <row r="98" spans="1:10" s="198" customFormat="1" ht="16.5" customHeight="1" x14ac:dyDescent="0.2">
      <c r="A98" s="41"/>
      <c r="B98" s="38"/>
      <c r="C98" s="163" t="s">
        <v>37</v>
      </c>
      <c r="D98" s="797" t="s">
        <v>144</v>
      </c>
      <c r="E98" s="798"/>
      <c r="F98" s="798"/>
      <c r="G98" s="797" t="s">
        <v>145</v>
      </c>
      <c r="H98" s="799"/>
      <c r="I98" s="40"/>
    </row>
    <row r="99" spans="1:10" s="198" customFormat="1" ht="18.75" customHeight="1" x14ac:dyDescent="0.2">
      <c r="A99" s="41"/>
      <c r="B99" s="38"/>
      <c r="C99" s="168" t="s">
        <v>146</v>
      </c>
      <c r="D99" s="779" t="s">
        <v>147</v>
      </c>
      <c r="E99" s="779"/>
      <c r="F99" s="779"/>
      <c r="G99" s="780">
        <v>42778</v>
      </c>
      <c r="H99" s="781"/>
      <c r="I99" s="250"/>
    </row>
    <row r="100" spans="1:10" s="198" customFormat="1" ht="18.75" customHeight="1" x14ac:dyDescent="0.2">
      <c r="A100" s="41"/>
      <c r="B100" s="38"/>
      <c r="C100" s="168"/>
      <c r="D100" s="779"/>
      <c r="E100" s="779"/>
      <c r="F100" s="779"/>
      <c r="G100" s="895"/>
      <c r="H100" s="896"/>
      <c r="I100" s="250"/>
    </row>
    <row r="101" spans="1:10" s="198" customFormat="1" ht="18.75" customHeight="1" x14ac:dyDescent="0.2">
      <c r="A101" s="41"/>
      <c r="B101" s="38"/>
      <c r="C101" s="168"/>
      <c r="D101" s="779"/>
      <c r="E101" s="779"/>
      <c r="F101" s="779"/>
      <c r="G101" s="895"/>
      <c r="H101" s="896"/>
      <c r="I101" s="250"/>
    </row>
    <row r="102" spans="1:10" s="198" customFormat="1" ht="18.75" customHeight="1" x14ac:dyDescent="0.2">
      <c r="A102" s="41"/>
      <c r="B102" s="38"/>
      <c r="C102" s="168"/>
      <c r="D102" s="779"/>
      <c r="E102" s="779"/>
      <c r="F102" s="779"/>
      <c r="G102" s="895"/>
      <c r="H102" s="896"/>
      <c r="I102" s="250"/>
    </row>
    <row r="103" spans="1:10" s="198" customFormat="1" ht="18.75" customHeight="1" thickBot="1" x14ac:dyDescent="0.25">
      <c r="A103" s="41"/>
      <c r="B103" s="38"/>
      <c r="C103" s="169"/>
      <c r="D103" s="782"/>
      <c r="E103" s="782"/>
      <c r="F103" s="782"/>
      <c r="G103" s="783"/>
      <c r="H103" s="784"/>
      <c r="I103" s="250"/>
    </row>
    <row r="104" spans="1:10" ht="8.25" customHeight="1" thickBot="1" x14ac:dyDescent="0.3">
      <c r="A104" s="11"/>
      <c r="B104" s="9"/>
      <c r="C104" s="778"/>
      <c r="D104" s="778"/>
      <c r="E104" s="778"/>
      <c r="F104" s="778"/>
      <c r="G104" s="778"/>
      <c r="H104" s="778"/>
      <c r="I104" s="10"/>
      <c r="J104" s="193"/>
    </row>
    <row r="105" spans="1:10" ht="22.5" customHeight="1" x14ac:dyDescent="0.25">
      <c r="A105" s="11"/>
      <c r="B105" s="9"/>
      <c r="C105" s="752" t="s">
        <v>149</v>
      </c>
      <c r="D105" s="753"/>
      <c r="E105" s="753"/>
      <c r="F105" s="753"/>
      <c r="G105" s="753"/>
      <c r="H105" s="754"/>
      <c r="I105" s="37"/>
      <c r="J105" s="193"/>
    </row>
    <row r="106" spans="1:10" ht="6.75" customHeight="1" x14ac:dyDescent="0.25">
      <c r="A106" s="11"/>
      <c r="B106" s="9"/>
      <c r="C106" s="755"/>
      <c r="D106" s="756"/>
      <c r="E106" s="756"/>
      <c r="F106" s="756"/>
      <c r="G106" s="756"/>
      <c r="H106" s="757"/>
      <c r="I106" s="10"/>
      <c r="J106" s="193"/>
    </row>
    <row r="107" spans="1:10" s="246" customFormat="1" ht="17.25" customHeight="1" x14ac:dyDescent="0.25">
      <c r="A107" s="60"/>
      <c r="B107" s="245"/>
      <c r="C107" s="170" t="s">
        <v>150</v>
      </c>
      <c r="D107" s="171" t="s">
        <v>36</v>
      </c>
      <c r="E107" s="172" t="s">
        <v>151</v>
      </c>
      <c r="F107" s="173" t="s">
        <v>150</v>
      </c>
      <c r="G107" s="171" t="s">
        <v>36</v>
      </c>
      <c r="H107" s="172" t="s">
        <v>151</v>
      </c>
      <c r="I107" s="251"/>
    </row>
    <row r="108" spans="1:10" s="246" customFormat="1" ht="18.75" customHeight="1" x14ac:dyDescent="0.25">
      <c r="A108" s="60"/>
      <c r="B108" s="245"/>
      <c r="C108" s="174" t="s">
        <v>77</v>
      </c>
      <c r="D108" s="175" t="s">
        <v>152</v>
      </c>
      <c r="E108" s="176" t="s">
        <v>153</v>
      </c>
      <c r="F108" s="177"/>
      <c r="G108" s="178"/>
      <c r="H108" s="179"/>
      <c r="I108" s="252"/>
    </row>
    <row r="109" spans="1:10" s="246" customFormat="1" ht="18.75" customHeight="1" x14ac:dyDescent="0.25">
      <c r="A109" s="60"/>
      <c r="B109" s="245"/>
      <c r="C109" s="174" t="s">
        <v>154</v>
      </c>
      <c r="D109" s="175" t="s">
        <v>155</v>
      </c>
      <c r="E109" s="176" t="s">
        <v>153</v>
      </c>
      <c r="F109" s="177"/>
      <c r="G109" s="178"/>
      <c r="H109" s="179"/>
      <c r="I109" s="252"/>
    </row>
    <row r="110" spans="1:10" s="246" customFormat="1" ht="18.75" customHeight="1" x14ac:dyDescent="0.25">
      <c r="A110" s="60"/>
      <c r="B110" s="245"/>
      <c r="C110" s="174" t="s">
        <v>156</v>
      </c>
      <c r="D110" s="175" t="s">
        <v>157</v>
      </c>
      <c r="E110" s="176" t="s">
        <v>153</v>
      </c>
      <c r="F110" s="177"/>
      <c r="G110" s="178"/>
      <c r="H110" s="179"/>
      <c r="I110" s="252"/>
    </row>
    <row r="111" spans="1:10" s="246" customFormat="1" ht="18.75" customHeight="1" x14ac:dyDescent="0.25">
      <c r="A111" s="60"/>
      <c r="B111" s="245"/>
      <c r="C111" s="174" t="s">
        <v>77</v>
      </c>
      <c r="D111" s="175" t="s">
        <v>158</v>
      </c>
      <c r="E111" s="176" t="s">
        <v>153</v>
      </c>
      <c r="F111" s="177"/>
      <c r="G111" s="178"/>
      <c r="H111" s="179"/>
      <c r="I111" s="252"/>
    </row>
    <row r="112" spans="1:10" s="246" customFormat="1" ht="18.75" customHeight="1" x14ac:dyDescent="0.25">
      <c r="A112" s="60"/>
      <c r="B112" s="245"/>
      <c r="C112" s="174" t="s">
        <v>156</v>
      </c>
      <c r="D112" s="175" t="s">
        <v>159</v>
      </c>
      <c r="E112" s="176" t="s">
        <v>204</v>
      </c>
      <c r="F112" s="177"/>
      <c r="G112" s="178"/>
      <c r="H112" s="179"/>
      <c r="I112" s="252"/>
    </row>
    <row r="113" spans="1:10" s="246" customFormat="1" ht="18.75" customHeight="1" thickBot="1" x14ac:dyDescent="0.3">
      <c r="A113" s="60"/>
      <c r="B113" s="245"/>
      <c r="C113" s="180" t="s">
        <v>156</v>
      </c>
      <c r="D113" s="181" t="s">
        <v>159</v>
      </c>
      <c r="E113" s="182" t="s">
        <v>160</v>
      </c>
      <c r="F113" s="183"/>
      <c r="G113" s="184"/>
      <c r="H113" s="185"/>
      <c r="I113" s="252"/>
    </row>
    <row r="114" spans="1:10" ht="4.5" customHeight="1" x14ac:dyDescent="0.25">
      <c r="A114" s="11"/>
      <c r="B114" s="9"/>
      <c r="C114" s="186"/>
      <c r="D114" s="186"/>
      <c r="E114" s="186"/>
      <c r="F114" s="186"/>
      <c r="G114" s="187"/>
      <c r="H114" s="187"/>
      <c r="I114" s="189"/>
      <c r="J114" s="193"/>
    </row>
    <row r="115" spans="1:10" ht="3.75" customHeight="1" x14ac:dyDescent="0.25">
      <c r="A115" s="11"/>
      <c r="B115" s="9"/>
      <c r="C115" s="778"/>
      <c r="D115" s="778"/>
      <c r="E115" s="778"/>
      <c r="F115" s="778"/>
      <c r="G115" s="778"/>
      <c r="H115" s="778"/>
      <c r="I115" s="10"/>
      <c r="J115" s="193"/>
    </row>
    <row r="116" spans="1:10" ht="20.25" hidden="1" customHeight="1" x14ac:dyDescent="0.25">
      <c r="A116" s="11"/>
      <c r="B116" s="9"/>
      <c r="C116" s="752" t="s">
        <v>207</v>
      </c>
      <c r="D116" s="753"/>
      <c r="E116" s="753"/>
      <c r="F116" s="753"/>
      <c r="G116" s="753"/>
      <c r="H116" s="754"/>
      <c r="I116" s="37"/>
      <c r="J116" s="193"/>
    </row>
    <row r="117" spans="1:10" ht="6" hidden="1" customHeight="1" x14ac:dyDescent="0.25">
      <c r="A117" s="11"/>
      <c r="B117" s="9"/>
      <c r="C117" s="755"/>
      <c r="D117" s="756"/>
      <c r="E117" s="756"/>
      <c r="F117" s="756"/>
      <c r="G117" s="756"/>
      <c r="H117" s="757"/>
      <c r="I117" s="10"/>
      <c r="J117" s="193"/>
    </row>
    <row r="118" spans="1:10" ht="13.2" hidden="1" x14ac:dyDescent="0.25">
      <c r="A118" s="11"/>
      <c r="B118" s="9"/>
      <c r="C118" s="758" t="s">
        <v>208</v>
      </c>
      <c r="D118" s="760" t="s">
        <v>209</v>
      </c>
      <c r="E118" s="760"/>
      <c r="F118" s="760"/>
      <c r="G118" s="760"/>
      <c r="H118" s="761"/>
      <c r="I118" s="72"/>
      <c r="J118" s="193"/>
    </row>
    <row r="119" spans="1:10" ht="8.25" hidden="1" customHeight="1" x14ac:dyDescent="0.25">
      <c r="A119" s="11"/>
      <c r="B119" s="9"/>
      <c r="C119" s="759"/>
      <c r="D119" s="760"/>
      <c r="E119" s="760"/>
      <c r="F119" s="760"/>
      <c r="G119" s="760"/>
      <c r="H119" s="761"/>
      <c r="I119" s="72"/>
      <c r="J119" s="193"/>
    </row>
    <row r="120" spans="1:10" ht="5.25" hidden="1" customHeight="1" x14ac:dyDescent="0.25">
      <c r="A120" s="11"/>
      <c r="B120" s="9"/>
      <c r="C120" s="759"/>
      <c r="D120" s="760"/>
      <c r="E120" s="760"/>
      <c r="F120" s="760"/>
      <c r="G120" s="760"/>
      <c r="H120" s="761"/>
      <c r="I120" s="72"/>
      <c r="J120" s="193"/>
    </row>
    <row r="121" spans="1:10" ht="6.75" hidden="1" customHeight="1" x14ac:dyDescent="0.25">
      <c r="A121" s="11"/>
      <c r="B121" s="9"/>
      <c r="C121" s="755"/>
      <c r="D121" s="756"/>
      <c r="E121" s="756"/>
      <c r="F121" s="756"/>
      <c r="G121" s="756"/>
      <c r="H121" s="757"/>
      <c r="I121" s="10"/>
      <c r="J121" s="193"/>
    </row>
    <row r="122" spans="1:10" ht="16.5" hidden="1" customHeight="1" x14ac:dyDescent="0.25">
      <c r="A122" s="11"/>
      <c r="B122" s="9"/>
      <c r="C122" s="771" t="s">
        <v>210</v>
      </c>
      <c r="D122" s="774" t="s">
        <v>211</v>
      </c>
      <c r="E122" s="774"/>
      <c r="F122" s="774"/>
      <c r="G122" s="774"/>
      <c r="H122" s="775"/>
      <c r="I122" s="72"/>
      <c r="J122" s="193"/>
    </row>
    <row r="123" spans="1:10" ht="5.25" hidden="1" customHeight="1" x14ac:dyDescent="0.25">
      <c r="A123" s="11"/>
      <c r="B123" s="9"/>
      <c r="C123" s="772"/>
      <c r="D123" s="774"/>
      <c r="E123" s="774"/>
      <c r="F123" s="774"/>
      <c r="G123" s="774"/>
      <c r="H123" s="775"/>
      <c r="I123" s="72"/>
      <c r="J123" s="193"/>
    </row>
    <row r="124" spans="1:10" ht="5.25" hidden="1" customHeight="1" thickBot="1" x14ac:dyDescent="0.3">
      <c r="A124" s="11"/>
      <c r="B124" s="9"/>
      <c r="C124" s="773"/>
      <c r="D124" s="776"/>
      <c r="E124" s="776"/>
      <c r="F124" s="776"/>
      <c r="G124" s="776"/>
      <c r="H124" s="777"/>
      <c r="I124" s="72"/>
      <c r="J124" s="193"/>
    </row>
    <row r="125" spans="1:10" ht="6.75" hidden="1" customHeight="1" x14ac:dyDescent="0.25">
      <c r="A125" s="11"/>
      <c r="B125" s="9"/>
      <c r="C125" s="765"/>
      <c r="D125" s="765"/>
      <c r="E125" s="765"/>
      <c r="F125" s="765"/>
      <c r="G125" s="765"/>
      <c r="H125" s="765"/>
      <c r="I125" s="10"/>
      <c r="J125" s="193"/>
    </row>
    <row r="126" spans="1:10" ht="72.75" customHeight="1" x14ac:dyDescent="0.25">
      <c r="A126" s="11"/>
      <c r="B126" s="9"/>
      <c r="C126" s="766" t="s">
        <v>161</v>
      </c>
      <c r="D126" s="766"/>
      <c r="E126" s="766"/>
      <c r="F126" s="766"/>
      <c r="G126" s="766"/>
      <c r="H126" s="766"/>
      <c r="I126" s="72"/>
      <c r="J126" s="193"/>
    </row>
    <row r="127" spans="1:10" ht="4.5" customHeight="1" x14ac:dyDescent="0.25">
      <c r="A127" s="11"/>
      <c r="B127" s="9"/>
      <c r="C127" s="142"/>
      <c r="D127" s="142"/>
      <c r="E127" s="142"/>
      <c r="F127" s="142"/>
      <c r="G127" s="142"/>
      <c r="H127" s="140"/>
      <c r="I127" s="72"/>
      <c r="J127" s="193"/>
    </row>
    <row r="128" spans="1:10" ht="3.75" hidden="1" customHeight="1" x14ac:dyDescent="0.25">
      <c r="A128" s="11"/>
      <c r="B128" s="9"/>
      <c r="C128" s="142"/>
      <c r="D128" s="142"/>
      <c r="E128" s="142"/>
      <c r="F128" s="142"/>
      <c r="G128" s="142"/>
      <c r="H128" s="140"/>
      <c r="I128" s="72"/>
      <c r="J128" s="193"/>
    </row>
    <row r="129" spans="1:10" ht="25.5" customHeight="1" x14ac:dyDescent="0.25">
      <c r="A129" s="11"/>
      <c r="B129" s="9"/>
      <c r="C129" s="190"/>
      <c r="D129" s="190"/>
      <c r="E129" s="140"/>
      <c r="F129" s="190"/>
      <c r="G129" s="190"/>
      <c r="H129" s="140"/>
      <c r="I129" s="72"/>
      <c r="J129" s="193"/>
    </row>
    <row r="130" spans="1:10" ht="16.5" customHeight="1" x14ac:dyDescent="0.25">
      <c r="A130" s="11"/>
      <c r="B130" s="9"/>
      <c r="C130" s="767" t="s">
        <v>162</v>
      </c>
      <c r="D130" s="767"/>
      <c r="E130" s="140"/>
      <c r="F130" s="767" t="s">
        <v>163</v>
      </c>
      <c r="G130" s="767"/>
      <c r="H130" s="140"/>
      <c r="I130" s="72"/>
      <c r="J130" s="193"/>
    </row>
    <row r="131" spans="1:10" ht="7.5" customHeight="1" thickBot="1" x14ac:dyDescent="0.3">
      <c r="A131" s="11"/>
      <c r="B131" s="9"/>
      <c r="C131" s="142"/>
      <c r="D131" s="140"/>
      <c r="E131" s="140"/>
      <c r="F131" s="140"/>
      <c r="G131" s="140"/>
      <c r="H131" s="140"/>
      <c r="I131" s="72"/>
      <c r="J131" s="193"/>
    </row>
    <row r="132" spans="1:10" s="194" customFormat="1" ht="3" hidden="1" customHeight="1" thickBot="1" x14ac:dyDescent="0.3">
      <c r="A132" s="6"/>
      <c r="B132" s="9"/>
      <c r="C132" s="6"/>
      <c r="D132" s="6"/>
      <c r="E132" s="6"/>
      <c r="F132" s="6"/>
      <c r="G132" s="6"/>
      <c r="H132" s="6"/>
      <c r="I132" s="10"/>
    </row>
    <row r="133" spans="1:10" s="255" customFormat="1" ht="18.75" customHeight="1" thickBot="1" x14ac:dyDescent="0.25">
      <c r="A133" s="253"/>
      <c r="B133" s="38"/>
      <c r="C133" s="894" t="s">
        <v>205</v>
      </c>
      <c r="D133" s="768"/>
      <c r="E133" s="768" t="s">
        <v>165</v>
      </c>
      <c r="F133" s="768"/>
      <c r="G133" s="769" t="s">
        <v>206</v>
      </c>
      <c r="H133" s="770"/>
      <c r="I133" s="254"/>
    </row>
    <row r="134" spans="1:10" s="194" customFormat="1" ht="6.75" customHeight="1" thickBot="1" x14ac:dyDescent="0.3">
      <c r="A134" s="6"/>
      <c r="B134" s="135"/>
      <c r="C134" s="256"/>
      <c r="D134" s="256"/>
      <c r="E134" s="256"/>
      <c r="F134" s="256"/>
      <c r="G134" s="256"/>
      <c r="H134" s="256"/>
      <c r="I134" s="63"/>
    </row>
    <row r="135" spans="1:10" ht="13.2" hidden="1" x14ac:dyDescent="0.25">
      <c r="A135" s="11"/>
      <c r="J135" s="193"/>
    </row>
    <row r="136" spans="1:10" ht="13.2" hidden="1" x14ac:dyDescent="0.25">
      <c r="A136" s="11"/>
      <c r="J136" s="193"/>
    </row>
    <row r="137" spans="1:10" ht="13.2" hidden="1" x14ac:dyDescent="0.25">
      <c r="A137" s="11"/>
      <c r="J137" s="193"/>
    </row>
    <row r="138" spans="1:10" ht="13.2" hidden="1" x14ac:dyDescent="0.25">
      <c r="A138" s="11"/>
      <c r="J138" s="193"/>
    </row>
    <row r="139" spans="1:10" s="194" customFormat="1" ht="5.25" customHeight="1" x14ac:dyDescent="0.25">
      <c r="A139" s="6"/>
      <c r="B139" s="6"/>
      <c r="C139" s="6"/>
      <c r="D139" s="6"/>
      <c r="E139" s="6"/>
      <c r="F139" s="6"/>
      <c r="G139" s="6"/>
      <c r="H139" s="6"/>
      <c r="I139" s="6"/>
    </row>
    <row r="140" spans="1:10" ht="13.2" hidden="1" x14ac:dyDescent="0.25">
      <c r="A140" s="11"/>
      <c r="J140" s="193"/>
    </row>
    <row r="141" spans="1:10" ht="13.2" hidden="1" x14ac:dyDescent="0.25">
      <c r="A141" s="11"/>
      <c r="J141" s="193"/>
    </row>
    <row r="142" spans="1:10" ht="13.2" hidden="1" x14ac:dyDescent="0.25">
      <c r="A142" s="11"/>
      <c r="J142" s="193"/>
    </row>
    <row r="143" spans="1:10" ht="13.2" hidden="1" x14ac:dyDescent="0.25">
      <c r="A143" s="11"/>
      <c r="J143" s="193"/>
    </row>
    <row r="144" spans="1:10" ht="13.2" hidden="1" x14ac:dyDescent="0.25">
      <c r="A144" s="11"/>
      <c r="J144" s="193"/>
    </row>
    <row r="145" spans="1:10" ht="13.2" hidden="1" x14ac:dyDescent="0.25">
      <c r="A145" s="11"/>
      <c r="J145" s="193"/>
    </row>
    <row r="146" spans="1:10" ht="13.2" hidden="1" x14ac:dyDescent="0.25">
      <c r="A146" s="11"/>
      <c r="B146" s="11"/>
      <c r="I146" s="11"/>
      <c r="J146" s="193"/>
    </row>
    <row r="147" spans="1:10" ht="13.2" hidden="1" x14ac:dyDescent="0.25">
      <c r="A147" s="11"/>
      <c r="B147" s="11"/>
      <c r="I147" s="11"/>
      <c r="J147" s="193"/>
    </row>
    <row r="148" spans="1:10" ht="13.2" hidden="1" x14ac:dyDescent="0.25">
      <c r="A148" s="11"/>
      <c r="B148" s="11"/>
      <c r="I148" s="11"/>
      <c r="J148" s="193"/>
    </row>
    <row r="149" spans="1:10" ht="8.25" hidden="1" customHeight="1" x14ac:dyDescent="0.25"/>
    <row r="150" spans="1:10" ht="13.2" x14ac:dyDescent="0.25"/>
    <row r="151" spans="1:10" ht="13.2" x14ac:dyDescent="0.25"/>
    <row r="152" spans="1:10" ht="13.2" x14ac:dyDescent="0.25"/>
    <row r="153" spans="1:10" ht="13.2" x14ac:dyDescent="0.25"/>
    <row r="154" spans="1:10" ht="13.2" x14ac:dyDescent="0.25"/>
    <row r="155" spans="1:10" ht="13.2" x14ac:dyDescent="0.25"/>
    <row r="156" spans="1:10" ht="13.2" x14ac:dyDescent="0.25"/>
    <row r="157" spans="1:10" ht="13.2" x14ac:dyDescent="0.25"/>
    <row r="158" spans="1:10" ht="13.2" x14ac:dyDescent="0.25"/>
    <row r="159" spans="1:10" ht="13.2" x14ac:dyDescent="0.25"/>
    <row r="160" spans="1:10" ht="13.2" x14ac:dyDescent="0.25"/>
    <row r="161" ht="13.2" x14ac:dyDescent="0.25"/>
    <row r="162" ht="13.2" x14ac:dyDescent="0.25"/>
    <row r="163" ht="13.2" x14ac:dyDescent="0.25"/>
    <row r="164" ht="13.2" x14ac:dyDescent="0.25"/>
    <row r="165" ht="13.2" x14ac:dyDescent="0.25"/>
    <row r="166" ht="13.2" x14ac:dyDescent="0.25"/>
    <row r="167" ht="13.2" x14ac:dyDescent="0.25"/>
    <row r="168" ht="13.2" x14ac:dyDescent="0.25"/>
    <row r="169" ht="13.2" x14ac:dyDescent="0.25"/>
    <row r="170" ht="13.2" x14ac:dyDescent="0.25"/>
    <row r="171" ht="13.2" x14ac:dyDescent="0.25"/>
    <row r="172" ht="13.2" x14ac:dyDescent="0.25"/>
    <row r="173" ht="13.2" x14ac:dyDescent="0.25"/>
    <row r="174" ht="13.2" x14ac:dyDescent="0.25"/>
    <row r="175" ht="13.2" x14ac:dyDescent="0.25"/>
    <row r="176" ht="13.2" x14ac:dyDescent="0.25"/>
    <row r="177" ht="13.2" x14ac:dyDescent="0.25"/>
    <row r="178" ht="13.2" x14ac:dyDescent="0.25"/>
    <row r="179" ht="13.2" x14ac:dyDescent="0.25"/>
    <row r="180" ht="13.2" x14ac:dyDescent="0.25"/>
    <row r="181" ht="13.2" x14ac:dyDescent="0.25"/>
    <row r="182" ht="13.2" x14ac:dyDescent="0.25"/>
    <row r="183" ht="13.2" x14ac:dyDescent="0.25"/>
    <row r="184" ht="13.2" x14ac:dyDescent="0.25"/>
    <row r="185" ht="13.2" x14ac:dyDescent="0.25"/>
    <row r="186" ht="13.2" x14ac:dyDescent="0.25"/>
    <row r="187" ht="13.2" x14ac:dyDescent="0.25"/>
    <row r="188" ht="13.2" x14ac:dyDescent="0.25"/>
    <row r="189" ht="13.2" x14ac:dyDescent="0.25"/>
    <row r="190" ht="13.2" x14ac:dyDescent="0.25"/>
    <row r="191" ht="13.2" x14ac:dyDescent="0.25"/>
    <row r="192" ht="13.2" x14ac:dyDescent="0.25"/>
    <row r="193" ht="13.2" x14ac:dyDescent="0.25"/>
    <row r="194" ht="13.2" x14ac:dyDescent="0.25"/>
    <row r="195" ht="13.2" x14ac:dyDescent="0.25"/>
    <row r="196" ht="13.2" x14ac:dyDescent="0.25"/>
    <row r="197" ht="13.2" x14ac:dyDescent="0.25"/>
    <row r="198" ht="13.2" x14ac:dyDescent="0.25"/>
    <row r="199" ht="13.2" x14ac:dyDescent="0.25"/>
    <row r="200" ht="13.2" x14ac:dyDescent="0.25"/>
    <row r="201" ht="13.2" x14ac:dyDescent="0.25"/>
    <row r="202" ht="13.2" x14ac:dyDescent="0.25"/>
    <row r="203" ht="13.2" x14ac:dyDescent="0.25"/>
    <row r="204" ht="13.2" x14ac:dyDescent="0.25"/>
    <row r="205" ht="13.2" x14ac:dyDescent="0.25"/>
    <row r="206" ht="13.2" x14ac:dyDescent="0.25"/>
    <row r="207" ht="13.2" x14ac:dyDescent="0.25"/>
    <row r="208" ht="13.2" x14ac:dyDescent="0.25"/>
    <row r="209" ht="13.2" x14ac:dyDescent="0.25"/>
    <row r="210" ht="13.2" x14ac:dyDescent="0.25"/>
    <row r="211" ht="13.2" x14ac:dyDescent="0.25"/>
    <row r="212" ht="13.2" x14ac:dyDescent="0.25"/>
    <row r="213" ht="13.2" x14ac:dyDescent="0.25"/>
    <row r="214" ht="13.2" x14ac:dyDescent="0.25"/>
    <row r="215" ht="13.2" x14ac:dyDescent="0.25"/>
    <row r="216" ht="13.2" x14ac:dyDescent="0.25"/>
    <row r="217" ht="13.2" x14ac:dyDescent="0.25"/>
    <row r="218" ht="13.2" x14ac:dyDescent="0.25"/>
    <row r="219" ht="13.2" x14ac:dyDescent="0.25"/>
    <row r="220" ht="13.2" x14ac:dyDescent="0.25"/>
    <row r="221" ht="13.2" x14ac:dyDescent="0.25"/>
    <row r="222" ht="13.2" x14ac:dyDescent="0.25"/>
    <row r="223" ht="13.2" x14ac:dyDescent="0.25"/>
    <row r="224"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sheetData>
  <sheetProtection formatRows="0" insertRows="0" selectLockedCells="1"/>
  <mergeCells count="102">
    <mergeCell ref="C2:H2"/>
    <mergeCell ref="C3:H3"/>
    <mergeCell ref="D4:E4"/>
    <mergeCell ref="G4:H4"/>
    <mergeCell ref="D7:H7"/>
    <mergeCell ref="C9:H9"/>
    <mergeCell ref="C16:C17"/>
    <mergeCell ref="D16:F16"/>
    <mergeCell ref="E17:F17"/>
    <mergeCell ref="G17:H17"/>
    <mergeCell ref="D18:H18"/>
    <mergeCell ref="C19:H19"/>
    <mergeCell ref="C10:H10"/>
    <mergeCell ref="C11:H11"/>
    <mergeCell ref="D12:H12"/>
    <mergeCell ref="D13:H13"/>
    <mergeCell ref="D14:H14"/>
    <mergeCell ref="C15:H15"/>
    <mergeCell ref="C28:D28"/>
    <mergeCell ref="E28:F28"/>
    <mergeCell ref="C29:D29"/>
    <mergeCell ref="E29:F29"/>
    <mergeCell ref="C30:D30"/>
    <mergeCell ref="E30:F30"/>
    <mergeCell ref="C22:H22"/>
    <mergeCell ref="C23:H23"/>
    <mergeCell ref="C24:H24"/>
    <mergeCell ref="C25:H25"/>
    <mergeCell ref="C26:H26"/>
    <mergeCell ref="C27:D27"/>
    <mergeCell ref="E27:F27"/>
    <mergeCell ref="C35:H35"/>
    <mergeCell ref="G37:G38"/>
    <mergeCell ref="H37:H38"/>
    <mergeCell ref="C39:H39"/>
    <mergeCell ref="C46:F46"/>
    <mergeCell ref="G46:H46"/>
    <mergeCell ref="C31:D31"/>
    <mergeCell ref="E31:F31"/>
    <mergeCell ref="C32:D32"/>
    <mergeCell ref="E32:F32"/>
    <mergeCell ref="C33:H33"/>
    <mergeCell ref="C34:H34"/>
    <mergeCell ref="C67:H67"/>
    <mergeCell ref="C71:H71"/>
    <mergeCell ref="C74:H74"/>
    <mergeCell ref="C75:H75"/>
    <mergeCell ref="C76:H76"/>
    <mergeCell ref="C77:H77"/>
    <mergeCell ref="C47:H47"/>
    <mergeCell ref="D53:H53"/>
    <mergeCell ref="C56:F56"/>
    <mergeCell ref="G56:H56"/>
    <mergeCell ref="C57:H57"/>
    <mergeCell ref="C62:H62"/>
    <mergeCell ref="C85:H85"/>
    <mergeCell ref="E86:E87"/>
    <mergeCell ref="F86:H87"/>
    <mergeCell ref="C88:H88"/>
    <mergeCell ref="C91:H91"/>
    <mergeCell ref="C92:H92"/>
    <mergeCell ref="C78:H78"/>
    <mergeCell ref="E79:E81"/>
    <mergeCell ref="F79:H81"/>
    <mergeCell ref="C82:H82"/>
    <mergeCell ref="E83:E84"/>
    <mergeCell ref="F83:H84"/>
    <mergeCell ref="D93:E93"/>
    <mergeCell ref="G93:H93"/>
    <mergeCell ref="C95:H95"/>
    <mergeCell ref="C96:H96"/>
    <mergeCell ref="C97:H97"/>
    <mergeCell ref="D98:F98"/>
    <mergeCell ref="G98:H98"/>
    <mergeCell ref="D99:F99"/>
    <mergeCell ref="G99:H99"/>
    <mergeCell ref="D103:F103"/>
    <mergeCell ref="G103:H103"/>
    <mergeCell ref="C104:H104"/>
    <mergeCell ref="C105:H105"/>
    <mergeCell ref="C106:H106"/>
    <mergeCell ref="C115:H115"/>
    <mergeCell ref="D100:F100"/>
    <mergeCell ref="G100:H100"/>
    <mergeCell ref="D101:F101"/>
    <mergeCell ref="G101:H101"/>
    <mergeCell ref="D102:F102"/>
    <mergeCell ref="G102:H102"/>
    <mergeCell ref="C125:H125"/>
    <mergeCell ref="C126:H126"/>
    <mergeCell ref="C130:D130"/>
    <mergeCell ref="F130:G130"/>
    <mergeCell ref="C133:D133"/>
    <mergeCell ref="E133:F133"/>
    <mergeCell ref="G133:H133"/>
    <mergeCell ref="C116:H116"/>
    <mergeCell ref="C117:H117"/>
    <mergeCell ref="C118:C120"/>
    <mergeCell ref="D118:H120"/>
    <mergeCell ref="C121:H121"/>
    <mergeCell ref="C122:C124"/>
    <mergeCell ref="D122:H124"/>
  </mergeCells>
  <conditionalFormatting sqref="C12">
    <cfRule type="iconSet" priority="26">
      <iconSet iconSet="3TrafficLights2">
        <cfvo type="percent" val="0"/>
        <cfvo type="percent" val="33"/>
        <cfvo type="percent" val="67"/>
      </iconSet>
    </cfRule>
  </conditionalFormatting>
  <conditionalFormatting sqref="C18:C20">
    <cfRule type="containsText" dxfId="29" priority="20" operator="containsText" text="Grün">
      <formula>NOT(ISERROR(SEARCH("Grün",C18)))</formula>
    </cfRule>
    <cfRule type="containsText" dxfId="28" priority="21" operator="containsText" text="Rot">
      <formula>NOT(ISERROR(SEARCH("Rot",C18)))</formula>
    </cfRule>
    <cfRule type="containsText" dxfId="27" priority="22" operator="containsText" text="Gelb">
      <formula>NOT(ISERROR(SEARCH("Gelb",C18)))</formula>
    </cfRule>
  </conditionalFormatting>
  <conditionalFormatting sqref="C73">
    <cfRule type="expression" dxfId="26" priority="29">
      <formula>$D$73="X"</formula>
    </cfRule>
  </conditionalFormatting>
  <conditionalFormatting sqref="D20 F72">
    <cfRule type="cellIs" dxfId="25" priority="24" operator="greaterThanOrEqual">
      <formula>$D$37</formula>
    </cfRule>
    <cfRule type="cellIs" dxfId="24" priority="25" operator="lessThan">
      <formula>$D$37</formula>
    </cfRule>
  </conditionalFormatting>
  <conditionalFormatting sqref="D52">
    <cfRule type="cellIs" dxfId="23" priority="18" operator="lessThan">
      <formula>$D$37</formula>
    </cfRule>
    <cfRule type="cellIs" dxfId="22" priority="19" operator="greaterThanOrEqual">
      <formula>$D$37</formula>
    </cfRule>
  </conditionalFormatting>
  <conditionalFormatting sqref="D72">
    <cfRule type="containsText" dxfId="21" priority="4" operator="containsText" text="n.b.">
      <formula>NOT(ISERROR(SEARCH("n.b.",D72)))</formula>
    </cfRule>
    <cfRule type="cellIs" dxfId="20" priority="5" operator="greaterThanOrEqual">
      <formula>$D$37</formula>
    </cfRule>
    <cfRule type="cellIs" dxfId="19" priority="6" operator="lessThan">
      <formula>$D$37</formula>
    </cfRule>
  </conditionalFormatting>
  <conditionalFormatting sqref="E73">
    <cfRule type="expression" dxfId="18" priority="28">
      <formula>$F$73="X"</formula>
    </cfRule>
  </conditionalFormatting>
  <conditionalFormatting sqref="F20 F72">
    <cfRule type="containsText" dxfId="17" priority="1" operator="containsText" text="n.b.">
      <formula>NOT(ISERROR(SEARCH("n.b.",F20)))</formula>
    </cfRule>
    <cfRule type="cellIs" dxfId="16" priority="2" operator="greaterThanOrEqual">
      <formula>$F$37</formula>
    </cfRule>
    <cfRule type="cellIs" dxfId="15" priority="3" operator="lessThan">
      <formula>$F$37</formula>
    </cfRule>
  </conditionalFormatting>
  <conditionalFormatting sqref="F52">
    <cfRule type="cellIs" dxfId="14" priority="16" operator="lessThan">
      <formula>$F$37</formula>
    </cfRule>
    <cfRule type="cellIs" dxfId="13" priority="17" operator="greaterThanOrEqual">
      <formula>$F$37</formula>
    </cfRule>
  </conditionalFormatting>
  <conditionalFormatting sqref="F66">
    <cfRule type="cellIs" dxfId="12" priority="30" operator="lessThan">
      <formula>$D$37</formula>
    </cfRule>
    <cfRule type="cellIs" dxfId="11" priority="31" operator="greaterThanOrEqual">
      <formula>$D$37</formula>
    </cfRule>
  </conditionalFormatting>
  <conditionalFormatting sqref="F70">
    <cfRule type="cellIs" dxfId="10" priority="12" operator="lessThan">
      <formula>$D$37</formula>
    </cfRule>
    <cfRule type="cellIs" dxfId="9" priority="13" operator="greaterThanOrEqual">
      <formula>$D$37</formula>
    </cfRule>
  </conditionalFormatting>
  <conditionalFormatting sqref="F72 D20">
    <cfRule type="containsText" dxfId="8" priority="23" operator="containsText" text="n.b.">
      <formula>NOT(ISERROR(SEARCH("n.b.",D20)))</formula>
    </cfRule>
  </conditionalFormatting>
  <conditionalFormatting sqref="G73">
    <cfRule type="expression" dxfId="7" priority="27">
      <formula>$H$73="X"</formula>
    </cfRule>
  </conditionalFormatting>
  <conditionalFormatting sqref="H20">
    <cfRule type="containsText" dxfId="6" priority="7" operator="containsText" text="Red">
      <formula>NOT(ISERROR(SEARCH("Red",H20)))</formula>
    </cfRule>
    <cfRule type="containsText" dxfId="5" priority="8" operator="containsText" text="yellow">
      <formula>NOT(ISERROR(SEARCH("yellow",H20)))</formula>
    </cfRule>
    <cfRule type="containsText" dxfId="4" priority="9" operator="containsText" text="Green">
      <formula>NOT(ISERROR(SEARCH("Green",H20)))</formula>
    </cfRule>
  </conditionalFormatting>
  <conditionalFormatting sqref="H66">
    <cfRule type="cellIs" dxfId="3" priority="14" operator="lessThan">
      <formula>$D$37</formula>
    </cfRule>
    <cfRule type="cellIs" dxfId="2" priority="15" operator="greaterThanOrEqual">
      <formula>$D$37</formula>
    </cfRule>
  </conditionalFormatting>
  <conditionalFormatting sqref="H70">
    <cfRule type="cellIs" dxfId="1" priority="10" operator="lessThan">
      <formula>$D$37</formula>
    </cfRule>
    <cfRule type="cellIs" dxfId="0" priority="11" operator="greaterThanOrEqual">
      <formula>$D$37</formula>
    </cfRule>
  </conditionalFormatting>
  <pageMargins left="0.70866141732283472" right="0.51181102362204722" top="0.78740157480314965" bottom="0.59055118110236227" header="0.31496062992125984" footer="0.31496062992125984"/>
  <pageSetup paperSize="9" scale="67" fitToHeight="0" orientation="portrait" r:id="rId1"/>
  <headerFooter>
    <oddHeader>&amp;L&amp;"Arial"&amp;8&amp;K000000 INTERNAL&amp;1#_x000D_&amp;C&amp;"VW Headline OT-Black,Standard"&amp;28&amp;K00-036VOLKSWAGEN&amp;"VW Headline OT-Black,Standard"&amp;26&amp;K00-006
&amp;"VW Headline OT-Black,Standard"&amp;11&amp;K00-036AKTIENGESELLSCHAFT</oddHeader>
    <oddFooter>&amp;L&amp;9 2TP-certificate_process acceptance and performance test&amp;C&amp;P of &amp;N&amp;R&amp;9&amp;F</oddFooter>
  </headerFooter>
  <rowBreaks count="2" manualBreakCount="2">
    <brk id="43" max="16383" man="1"/>
    <brk id="75" max="16383" man="1"/>
  </rowBreaks>
  <drawing r:id="rId2"/>
  <legacyDrawing r:id="rId3"/>
</worksheet>
</file>

<file path=docMetadata/LabelInfo.xml><?xml version="1.0" encoding="utf-8"?>
<clbl:labelList xmlns:clbl="http://schemas.microsoft.com/office/2020/mipLabelMetadata">
  <clbl:label id="{b1c9b508-7c6e-42bd-bedf-808292653d6c}" enabled="1" method="Standard" siteId="{2882be50-2012-4d88-ac86-544124e120c8}"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8</vt:i4>
      </vt:variant>
      <vt:variant>
        <vt:lpstr>Rangos con nombre</vt:lpstr>
      </vt:variant>
      <vt:variant>
        <vt:i4>9</vt:i4>
      </vt:variant>
    </vt:vector>
  </HeadingPairs>
  <TitlesOfParts>
    <vt:vector size="17" baseType="lpstr">
      <vt:lpstr>Tabelle1</vt:lpstr>
      <vt:lpstr>CapacitySFN</vt:lpstr>
      <vt:lpstr>OEE CalculatorSFN</vt:lpstr>
      <vt:lpstr>DiagramSFN</vt:lpstr>
      <vt:lpstr>Observaciones</vt:lpstr>
      <vt:lpstr>Protocolo_SFN1</vt:lpstr>
      <vt:lpstr>Acc. certificate PCA1 pre-check</vt:lpstr>
      <vt:lpstr>Acceptance certificate_PCA2_3</vt:lpstr>
      <vt:lpstr>'Acc. certificate PCA1 pre-check'!Área_de_impresión</vt:lpstr>
      <vt:lpstr>'Acceptance certificate_PCA2_3'!Área_de_impresión</vt:lpstr>
      <vt:lpstr>CapacitySFN!Área_de_impresión</vt:lpstr>
      <vt:lpstr>DiagramSFN!Área_de_impresión</vt:lpstr>
      <vt:lpstr>'OEE CalculatorSFN'!Área_de_impresión</vt:lpstr>
      <vt:lpstr>Protocolo_SFN1!Área_de_impresión</vt:lpstr>
      <vt:lpstr>'Acc. certificate PCA1 pre-check'!Títulos_a_imprimir</vt:lpstr>
      <vt:lpstr>'Acceptance certificate_PCA2_3'!Títulos_a_imprimir</vt:lpstr>
      <vt:lpstr>Protocolo_SFN1!Títulos_a_imprimir</vt:lpstr>
    </vt:vector>
  </TitlesOfParts>
  <Company>Volkswagen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Timm, Frank (K-BN-KM/1)</dc:creator>
  <cp:lastModifiedBy>Facundo Santoro</cp:lastModifiedBy>
  <cp:lastPrinted>2021-01-05T14:24:29Z</cp:lastPrinted>
  <dcterms:created xsi:type="dcterms:W3CDTF">2002-11-14T14:15:04Z</dcterms:created>
  <dcterms:modified xsi:type="dcterms:W3CDTF">2026-03-23T12:07:29Z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